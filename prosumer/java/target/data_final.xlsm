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inz/Documents/P2Papp/scripts/"/>
    </mc:Choice>
  </mc:AlternateContent>
  <xr:revisionPtr revIDLastSave="0" documentId="13_ncr:1_{5EAC3F39-AA55-9B4A-8B29-1CB6B5B44293}" xr6:coauthVersionLast="41" xr6:coauthVersionMax="41" xr10:uidLastSave="{00000000-0000-0000-0000-000000000000}"/>
  <bookViews>
    <workbookView xWindow="0" yWindow="460" windowWidth="34820" windowHeight="23340" activeTab="14" xr2:uid="{00000000-000D-0000-FFFF-FFFF00000000}"/>
  </bookViews>
  <sheets>
    <sheet name="T7" sheetId="27" r:id="rId1"/>
    <sheet name="T8" sheetId="13" r:id="rId2"/>
    <sheet name="T9" sheetId="14" r:id="rId3"/>
    <sheet name="T10" sheetId="15" r:id="rId4"/>
    <sheet name="T11" sheetId="16" r:id="rId5"/>
    <sheet name="T12" sheetId="17" r:id="rId6"/>
    <sheet name="T13" sheetId="18" r:id="rId7"/>
    <sheet name="T14" sheetId="19" r:id="rId8"/>
    <sheet name="T15" sheetId="20" r:id="rId9"/>
    <sheet name="T16" sheetId="21" r:id="rId10"/>
    <sheet name="T17" sheetId="22" r:id="rId11"/>
    <sheet name="T18" sheetId="23" r:id="rId12"/>
    <sheet name="T19" sheetId="24" r:id="rId13"/>
    <sheet name="T20" sheetId="25" r:id="rId14"/>
    <sheet name="retailer" sheetId="32" r:id="rId15"/>
    <sheet name="summary" sheetId="30" r:id="rId16"/>
  </sheets>
  <definedNames>
    <definedName name="_xlnm._FilterDatabase" localSheetId="3" hidden="1">'T10'!$A$1:$F$51</definedName>
    <definedName name="_xlnm._FilterDatabase" localSheetId="4" hidden="1">'T11'!$A$1:$F$51</definedName>
    <definedName name="_xlnm._FilterDatabase" localSheetId="5" hidden="1">'T12'!$A$1:$F$51</definedName>
    <definedName name="_xlnm._FilterDatabase" localSheetId="6" hidden="1">'T13'!$D$1:$D$17112</definedName>
    <definedName name="_xlnm._FilterDatabase" localSheetId="7" hidden="1">'T14'!$A$1:$F$51</definedName>
    <definedName name="_xlnm._FilterDatabase" localSheetId="8" hidden="1">'T15'!$A$1:$F$51</definedName>
    <definedName name="_xlnm._FilterDatabase" localSheetId="9" hidden="1">'T16'!$A$1:$F$51</definedName>
    <definedName name="_xlnm._FilterDatabase" localSheetId="10" hidden="1">'T17'!$A$1:$F$51</definedName>
    <definedName name="_xlnm._FilterDatabase" localSheetId="11" hidden="1">'T18'!$A$1:$F$51</definedName>
    <definedName name="_xlnm._FilterDatabase" localSheetId="12" hidden="1">'T19'!$A$1:$F$51</definedName>
    <definedName name="_xlnm._FilterDatabase" localSheetId="13" hidden="1">'T20'!$A$1:$F$51</definedName>
    <definedName name="_xlnm._FilterDatabase" localSheetId="1" hidden="1">'T8'!$D$1:$D$51</definedName>
    <definedName name="_xlnm._FilterDatabase" localSheetId="2" hidden="1">'T9'!$A$1:$F$51</definedName>
  </definedNames>
  <calcPr calcId="191029"/>
</workbook>
</file>

<file path=xl/calcChain.xml><?xml version="1.0" encoding="utf-8"?>
<calcChain xmlns="http://schemas.openxmlformats.org/spreadsheetml/2006/main">
  <c r="O3" i="30" l="1"/>
  <c r="O4" i="30"/>
  <c r="O5" i="30"/>
  <c r="O6" i="30"/>
  <c r="O7" i="30"/>
  <c r="O8" i="30"/>
  <c r="O9" i="30"/>
  <c r="O10" i="30"/>
  <c r="O11" i="30"/>
  <c r="O12" i="30"/>
  <c r="O13" i="30"/>
  <c r="O14" i="30"/>
  <c r="O2" i="30"/>
  <c r="N3" i="30"/>
  <c r="N4" i="30"/>
  <c r="N5" i="30"/>
  <c r="N6" i="30"/>
  <c r="N7" i="30"/>
  <c r="N8" i="30"/>
  <c r="N9" i="30"/>
  <c r="N10" i="30"/>
  <c r="N11" i="30"/>
  <c r="N12" i="30"/>
  <c r="N13" i="30"/>
  <c r="N14" i="30"/>
  <c r="N2" i="30"/>
  <c r="D14" i="30" l="1"/>
  <c r="C14" i="30"/>
  <c r="B14" i="30"/>
  <c r="D13" i="30"/>
  <c r="C13" i="30"/>
  <c r="B13" i="30"/>
  <c r="D12" i="30"/>
  <c r="C12" i="30"/>
  <c r="F12" i="30" s="1"/>
  <c r="B12" i="30"/>
  <c r="D11" i="30"/>
  <c r="C11" i="30"/>
  <c r="B11" i="30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D4" i="30"/>
  <c r="C4" i="30"/>
  <c r="F4" i="30" s="1"/>
  <c r="B4" i="30"/>
  <c r="D3" i="30"/>
  <c r="C3" i="30"/>
  <c r="B3" i="30"/>
  <c r="D2" i="30"/>
  <c r="C2" i="30"/>
  <c r="B2" i="30"/>
  <c r="F5" i="30" l="1"/>
  <c r="E8" i="30"/>
  <c r="F9" i="30"/>
  <c r="F7" i="30"/>
  <c r="F2" i="30"/>
  <c r="F6" i="30"/>
  <c r="F10" i="30"/>
  <c r="F14" i="30"/>
  <c r="E3" i="30"/>
  <c r="E11" i="30"/>
  <c r="E13" i="30"/>
  <c r="F13" i="30"/>
  <c r="F3" i="30"/>
  <c r="E4" i="30"/>
  <c r="E7" i="30"/>
  <c r="F8" i="30"/>
  <c r="E9" i="30"/>
  <c r="F11" i="30"/>
  <c r="E12" i="30"/>
  <c r="E5" i="30"/>
  <c r="E2" i="30"/>
  <c r="E6" i="30"/>
  <c r="E10" i="30"/>
  <c r="E14" i="30"/>
  <c r="D64" i="25" l="1" a="1"/>
  <c r="D64" i="25" s="1"/>
  <c r="C64" i="25" a="1"/>
  <c r="C64" i="25" s="1"/>
  <c r="D63" i="25" a="1"/>
  <c r="D63" i="25" s="1"/>
  <c r="C63" i="25" a="1"/>
  <c r="C63" i="25" s="1"/>
  <c r="D62" i="25" a="1"/>
  <c r="D62" i="25" s="1"/>
  <c r="C62" i="25" a="1"/>
  <c r="C62" i="25" s="1"/>
  <c r="D61" i="25" a="1"/>
  <c r="D61" i="25" s="1"/>
  <c r="C61" i="25" a="1"/>
  <c r="C61" i="25" s="1"/>
  <c r="D60" i="25" a="1"/>
  <c r="D60" i="25" s="1"/>
  <c r="C60" i="25" a="1"/>
  <c r="C60" i="25" s="1"/>
  <c r="D59" i="25" a="1"/>
  <c r="D59" i="25" s="1"/>
  <c r="C59" i="25" a="1"/>
  <c r="C59" i="25" s="1"/>
  <c r="D58" i="25" a="1"/>
  <c r="D58" i="25" s="1"/>
  <c r="C58" i="25" a="1"/>
  <c r="C58" i="25" s="1"/>
  <c r="D57" i="25" a="1"/>
  <c r="D57" i="25" s="1"/>
  <c r="C57" i="25" a="1"/>
  <c r="C57" i="25" s="1"/>
  <c r="D56" i="25" a="1"/>
  <c r="D56" i="25" s="1"/>
  <c r="C56" i="25" a="1"/>
  <c r="C56" i="25" s="1"/>
  <c r="D55" i="25" a="1"/>
  <c r="D55" i="25" s="1"/>
  <c r="C55" i="25" a="1"/>
  <c r="C55" i="25" s="1"/>
  <c r="D54" i="25" a="1"/>
  <c r="D54" i="25" s="1"/>
  <c r="C54" i="25" a="1"/>
  <c r="C54" i="25" s="1"/>
  <c r="D53" i="25" a="1"/>
  <c r="D53" i="25" s="1"/>
  <c r="C53" i="25" a="1"/>
  <c r="C53" i="25" s="1"/>
  <c r="D52" i="25" a="1"/>
  <c r="D52" i="25" s="1"/>
  <c r="C52" i="25" a="1"/>
  <c r="C52" i="25" s="1"/>
  <c r="D64" i="24" a="1"/>
  <c r="D64" i="24" s="1"/>
  <c r="C64" i="24" a="1"/>
  <c r="C64" i="24" s="1"/>
  <c r="D63" i="24" a="1"/>
  <c r="D63" i="24" s="1"/>
  <c r="C63" i="24" a="1"/>
  <c r="C63" i="24" s="1"/>
  <c r="D62" i="24" a="1"/>
  <c r="D62" i="24" s="1"/>
  <c r="C62" i="24" a="1"/>
  <c r="C62" i="24" s="1"/>
  <c r="D61" i="24" a="1"/>
  <c r="D61" i="24" s="1"/>
  <c r="C61" i="24" a="1"/>
  <c r="C61" i="24" s="1"/>
  <c r="D60" i="24" a="1"/>
  <c r="D60" i="24" s="1"/>
  <c r="C60" i="24" a="1"/>
  <c r="C60" i="24" s="1"/>
  <c r="D59" i="24" a="1"/>
  <c r="D59" i="24" s="1"/>
  <c r="C59" i="24" a="1"/>
  <c r="C59" i="24" s="1"/>
  <c r="D58" i="24" a="1"/>
  <c r="D58" i="24" s="1"/>
  <c r="C58" i="24" a="1"/>
  <c r="C58" i="24" s="1"/>
  <c r="D57" i="24" a="1"/>
  <c r="D57" i="24" s="1"/>
  <c r="C57" i="24" a="1"/>
  <c r="C57" i="24" s="1"/>
  <c r="D56" i="24" a="1"/>
  <c r="D56" i="24" s="1"/>
  <c r="C56" i="24" a="1"/>
  <c r="C56" i="24" s="1"/>
  <c r="D55" i="24" a="1"/>
  <c r="D55" i="24" s="1"/>
  <c r="C55" i="24" a="1"/>
  <c r="C55" i="24" s="1"/>
  <c r="D54" i="24" a="1"/>
  <c r="D54" i="24" s="1"/>
  <c r="C54" i="24" a="1"/>
  <c r="C54" i="24" s="1"/>
  <c r="D53" i="24" a="1"/>
  <c r="D53" i="24" s="1"/>
  <c r="C53" i="24" a="1"/>
  <c r="C53" i="24" s="1"/>
  <c r="D52" i="24" a="1"/>
  <c r="D52" i="24" s="1"/>
  <c r="C52" i="24" a="1"/>
  <c r="C52" i="24" s="1"/>
  <c r="D64" i="23" a="1"/>
  <c r="D64" i="23" s="1"/>
  <c r="C64" i="23" a="1"/>
  <c r="C64" i="23" s="1"/>
  <c r="D63" i="23" a="1"/>
  <c r="D63" i="23" s="1"/>
  <c r="C63" i="23" a="1"/>
  <c r="C63" i="23" s="1"/>
  <c r="D62" i="23" a="1"/>
  <c r="D62" i="23" s="1"/>
  <c r="C62" i="23" a="1"/>
  <c r="C62" i="23" s="1"/>
  <c r="D61" i="23" a="1"/>
  <c r="D61" i="23" s="1"/>
  <c r="C61" i="23" a="1"/>
  <c r="C61" i="23" s="1"/>
  <c r="D60" i="23" a="1"/>
  <c r="D60" i="23" s="1"/>
  <c r="C60" i="23" a="1"/>
  <c r="C60" i="23" s="1"/>
  <c r="D59" i="23" a="1"/>
  <c r="D59" i="23" s="1"/>
  <c r="C59" i="23" a="1"/>
  <c r="C59" i="23" s="1"/>
  <c r="D58" i="23" a="1"/>
  <c r="D58" i="23" s="1"/>
  <c r="C58" i="23" a="1"/>
  <c r="C58" i="23" s="1"/>
  <c r="D57" i="23" a="1"/>
  <c r="D57" i="23" s="1"/>
  <c r="C57" i="23" a="1"/>
  <c r="C57" i="23" s="1"/>
  <c r="D56" i="23" a="1"/>
  <c r="D56" i="23" s="1"/>
  <c r="C56" i="23" a="1"/>
  <c r="C56" i="23" s="1"/>
  <c r="D55" i="23" a="1"/>
  <c r="D55" i="23" s="1"/>
  <c r="C55" i="23" a="1"/>
  <c r="C55" i="23" s="1"/>
  <c r="D54" i="23" a="1"/>
  <c r="D54" i="23" s="1"/>
  <c r="C54" i="23" a="1"/>
  <c r="C54" i="23" s="1"/>
  <c r="D53" i="23" a="1"/>
  <c r="D53" i="23" s="1"/>
  <c r="C53" i="23" a="1"/>
  <c r="C53" i="23" s="1"/>
  <c r="D52" i="23" a="1"/>
  <c r="D52" i="23" s="1"/>
  <c r="C52" i="23" a="1"/>
  <c r="C52" i="23" s="1"/>
  <c r="D64" i="22" a="1"/>
  <c r="D64" i="22" s="1"/>
  <c r="C64" i="22" a="1"/>
  <c r="C64" i="22" s="1"/>
  <c r="D63" i="22" a="1"/>
  <c r="D63" i="22" s="1"/>
  <c r="C63" i="22" a="1"/>
  <c r="C63" i="22" s="1"/>
  <c r="D62" i="22" a="1"/>
  <c r="D62" i="22" s="1"/>
  <c r="C62" i="22" a="1"/>
  <c r="C62" i="22" s="1"/>
  <c r="D61" i="22" a="1"/>
  <c r="D61" i="22" s="1"/>
  <c r="C61" i="22" a="1"/>
  <c r="C61" i="22" s="1"/>
  <c r="D60" i="22" a="1"/>
  <c r="D60" i="22" s="1"/>
  <c r="C60" i="22" a="1"/>
  <c r="C60" i="22" s="1"/>
  <c r="D59" i="22" a="1"/>
  <c r="D59" i="22" s="1"/>
  <c r="C59" i="22" a="1"/>
  <c r="C59" i="22" s="1"/>
  <c r="D58" i="22" a="1"/>
  <c r="D58" i="22" s="1"/>
  <c r="C58" i="22" a="1"/>
  <c r="C58" i="22" s="1"/>
  <c r="D57" i="22" a="1"/>
  <c r="D57" i="22" s="1"/>
  <c r="C57" i="22" a="1"/>
  <c r="C57" i="22" s="1"/>
  <c r="D56" i="22" a="1"/>
  <c r="D56" i="22" s="1"/>
  <c r="C56" i="22" a="1"/>
  <c r="C56" i="22" s="1"/>
  <c r="D55" i="22" a="1"/>
  <c r="D55" i="22" s="1"/>
  <c r="C55" i="22" a="1"/>
  <c r="C55" i="22" s="1"/>
  <c r="D54" i="22" a="1"/>
  <c r="D54" i="22" s="1"/>
  <c r="C54" i="22" a="1"/>
  <c r="C54" i="22" s="1"/>
  <c r="D53" i="22" a="1"/>
  <c r="D53" i="22" s="1"/>
  <c r="C53" i="22" a="1"/>
  <c r="C53" i="22" s="1"/>
  <c r="D52" i="22" a="1"/>
  <c r="D52" i="22" s="1"/>
  <c r="C52" i="22" a="1"/>
  <c r="C52" i="22" s="1"/>
  <c r="D64" i="21" a="1"/>
  <c r="D64" i="21" s="1"/>
  <c r="C64" i="21" a="1"/>
  <c r="C64" i="21" s="1"/>
  <c r="D63" i="21" a="1"/>
  <c r="D63" i="21" s="1"/>
  <c r="C63" i="21" a="1"/>
  <c r="C63" i="21" s="1"/>
  <c r="D62" i="21" a="1"/>
  <c r="D62" i="21" s="1"/>
  <c r="C62" i="21" a="1"/>
  <c r="C62" i="21" s="1"/>
  <c r="D61" i="21" a="1"/>
  <c r="D61" i="21" s="1"/>
  <c r="C61" i="21" a="1"/>
  <c r="C61" i="21" s="1"/>
  <c r="D60" i="21" a="1"/>
  <c r="D60" i="21" s="1"/>
  <c r="C60" i="21" a="1"/>
  <c r="C60" i="21" s="1"/>
  <c r="D59" i="21" a="1"/>
  <c r="D59" i="21" s="1"/>
  <c r="C59" i="21" a="1"/>
  <c r="C59" i="21" s="1"/>
  <c r="D58" i="21" a="1"/>
  <c r="D58" i="21" s="1"/>
  <c r="C58" i="21" a="1"/>
  <c r="C58" i="21" s="1"/>
  <c r="D57" i="21" a="1"/>
  <c r="D57" i="21" s="1"/>
  <c r="C57" i="21" a="1"/>
  <c r="C57" i="21" s="1"/>
  <c r="D56" i="21" a="1"/>
  <c r="D56" i="21" s="1"/>
  <c r="C56" i="21" a="1"/>
  <c r="C56" i="21" s="1"/>
  <c r="D55" i="21" a="1"/>
  <c r="D55" i="21" s="1"/>
  <c r="C55" i="21" a="1"/>
  <c r="C55" i="21" s="1"/>
  <c r="D54" i="21" a="1"/>
  <c r="D54" i="21" s="1"/>
  <c r="C54" i="21" a="1"/>
  <c r="C54" i="21" s="1"/>
  <c r="D53" i="21" a="1"/>
  <c r="D53" i="21" s="1"/>
  <c r="C53" i="21" a="1"/>
  <c r="C53" i="21" s="1"/>
  <c r="D52" i="21" a="1"/>
  <c r="D52" i="21" s="1"/>
  <c r="C52" i="21" a="1"/>
  <c r="C52" i="21" s="1"/>
  <c r="D64" i="20" a="1"/>
  <c r="D64" i="20" s="1"/>
  <c r="C64" i="20" a="1"/>
  <c r="C64" i="20" s="1"/>
  <c r="D63" i="20" a="1"/>
  <c r="D63" i="20" s="1"/>
  <c r="C63" i="20" a="1"/>
  <c r="C63" i="20" s="1"/>
  <c r="D62" i="20" a="1"/>
  <c r="D62" i="20" s="1"/>
  <c r="C62" i="20" a="1"/>
  <c r="C62" i="20" s="1"/>
  <c r="D61" i="20" a="1"/>
  <c r="D61" i="20" s="1"/>
  <c r="C61" i="20" a="1"/>
  <c r="C61" i="20" s="1"/>
  <c r="D60" i="20" a="1"/>
  <c r="D60" i="20" s="1"/>
  <c r="C60" i="20" a="1"/>
  <c r="C60" i="20" s="1"/>
  <c r="D59" i="20" a="1"/>
  <c r="D59" i="20" s="1"/>
  <c r="C59" i="20" a="1"/>
  <c r="C59" i="20" s="1"/>
  <c r="D58" i="20" a="1"/>
  <c r="D58" i="20" s="1"/>
  <c r="C58" i="20" a="1"/>
  <c r="C58" i="20" s="1"/>
  <c r="D57" i="20" a="1"/>
  <c r="D57" i="20" s="1"/>
  <c r="C57" i="20" a="1"/>
  <c r="C57" i="20" s="1"/>
  <c r="D56" i="20" a="1"/>
  <c r="D56" i="20" s="1"/>
  <c r="C56" i="20" a="1"/>
  <c r="C56" i="20" s="1"/>
  <c r="D55" i="20" a="1"/>
  <c r="D55" i="20" s="1"/>
  <c r="C55" i="20" a="1"/>
  <c r="C55" i="20" s="1"/>
  <c r="D54" i="20" a="1"/>
  <c r="D54" i="20" s="1"/>
  <c r="C54" i="20" a="1"/>
  <c r="C54" i="20" s="1"/>
  <c r="D53" i="20" a="1"/>
  <c r="D53" i="20" s="1"/>
  <c r="C53" i="20" a="1"/>
  <c r="C53" i="20" s="1"/>
  <c r="D52" i="20" a="1"/>
  <c r="D52" i="20" s="1"/>
  <c r="C52" i="20" a="1"/>
  <c r="C52" i="20" s="1"/>
  <c r="D64" i="19" a="1"/>
  <c r="D64" i="19" s="1"/>
  <c r="C64" i="19" a="1"/>
  <c r="C64" i="19" s="1"/>
  <c r="D63" i="19" a="1"/>
  <c r="D63" i="19" s="1"/>
  <c r="C63" i="19" a="1"/>
  <c r="C63" i="19" s="1"/>
  <c r="D62" i="19" a="1"/>
  <c r="D62" i="19" s="1"/>
  <c r="C62" i="19" a="1"/>
  <c r="C62" i="19" s="1"/>
  <c r="D61" i="19" a="1"/>
  <c r="D61" i="19" s="1"/>
  <c r="C61" i="19" a="1"/>
  <c r="C61" i="19" s="1"/>
  <c r="D60" i="19" a="1"/>
  <c r="D60" i="19" s="1"/>
  <c r="C60" i="19" a="1"/>
  <c r="C60" i="19" s="1"/>
  <c r="D59" i="19" a="1"/>
  <c r="D59" i="19" s="1"/>
  <c r="C59" i="19" a="1"/>
  <c r="C59" i="19" s="1"/>
  <c r="D58" i="19" a="1"/>
  <c r="D58" i="19" s="1"/>
  <c r="C58" i="19" a="1"/>
  <c r="C58" i="19" s="1"/>
  <c r="D57" i="19" a="1"/>
  <c r="D57" i="19" s="1"/>
  <c r="C57" i="19" a="1"/>
  <c r="C57" i="19" s="1"/>
  <c r="D56" i="19" a="1"/>
  <c r="D56" i="19" s="1"/>
  <c r="C56" i="19" a="1"/>
  <c r="C56" i="19" s="1"/>
  <c r="D55" i="19" a="1"/>
  <c r="D55" i="19" s="1"/>
  <c r="C55" i="19" a="1"/>
  <c r="C55" i="19" s="1"/>
  <c r="D54" i="19" a="1"/>
  <c r="D54" i="19" s="1"/>
  <c r="C54" i="19" a="1"/>
  <c r="C54" i="19" s="1"/>
  <c r="D53" i="19" a="1"/>
  <c r="D53" i="19" s="1"/>
  <c r="C53" i="19" a="1"/>
  <c r="C53" i="19" s="1"/>
  <c r="D52" i="19" a="1"/>
  <c r="D52" i="19" s="1"/>
  <c r="C52" i="19" a="1"/>
  <c r="C52" i="19" s="1"/>
  <c r="D64" i="18" a="1"/>
  <c r="D64" i="18" s="1"/>
  <c r="C64" i="18" a="1"/>
  <c r="C64" i="18" s="1"/>
  <c r="D63" i="18" a="1"/>
  <c r="D63" i="18" s="1"/>
  <c r="C63" i="18" a="1"/>
  <c r="C63" i="18" s="1"/>
  <c r="D62" i="18" a="1"/>
  <c r="D62" i="18" s="1"/>
  <c r="C62" i="18" a="1"/>
  <c r="C62" i="18" s="1"/>
  <c r="D61" i="18" a="1"/>
  <c r="D61" i="18" s="1"/>
  <c r="C61" i="18" a="1"/>
  <c r="C61" i="18" s="1"/>
  <c r="D60" i="18" a="1"/>
  <c r="D60" i="18" s="1"/>
  <c r="C60" i="18" a="1"/>
  <c r="C60" i="18" s="1"/>
  <c r="D59" i="18" a="1"/>
  <c r="D59" i="18" s="1"/>
  <c r="C59" i="18" a="1"/>
  <c r="C59" i="18" s="1"/>
  <c r="D58" i="18" a="1"/>
  <c r="D58" i="18" s="1"/>
  <c r="C58" i="18" a="1"/>
  <c r="C58" i="18" s="1"/>
  <c r="D57" i="18" a="1"/>
  <c r="D57" i="18" s="1"/>
  <c r="C57" i="18" a="1"/>
  <c r="C57" i="18" s="1"/>
  <c r="D56" i="18" a="1"/>
  <c r="D56" i="18" s="1"/>
  <c r="C56" i="18" a="1"/>
  <c r="C56" i="18" s="1"/>
  <c r="D55" i="18" a="1"/>
  <c r="D55" i="18" s="1"/>
  <c r="C55" i="18" a="1"/>
  <c r="C55" i="18" s="1"/>
  <c r="D54" i="18" a="1"/>
  <c r="D54" i="18" s="1"/>
  <c r="C54" i="18" a="1"/>
  <c r="C54" i="18" s="1"/>
  <c r="D53" i="18" a="1"/>
  <c r="D53" i="18" s="1"/>
  <c r="C53" i="18" a="1"/>
  <c r="C53" i="18" s="1"/>
  <c r="D52" i="18" a="1"/>
  <c r="D52" i="18" s="1"/>
  <c r="C52" i="18" a="1"/>
  <c r="C52" i="18" s="1"/>
  <c r="D64" i="16" a="1"/>
  <c r="D64" i="16" s="1"/>
  <c r="C64" i="16" a="1"/>
  <c r="C64" i="16" s="1"/>
  <c r="D63" i="16" a="1"/>
  <c r="D63" i="16" s="1"/>
  <c r="C63" i="16" a="1"/>
  <c r="C63" i="16" s="1"/>
  <c r="D62" i="16" a="1"/>
  <c r="D62" i="16" s="1"/>
  <c r="C62" i="16" a="1"/>
  <c r="C62" i="16" s="1"/>
  <c r="D61" i="16" a="1"/>
  <c r="D61" i="16" s="1"/>
  <c r="C61" i="16" a="1"/>
  <c r="C61" i="16" s="1"/>
  <c r="D60" i="16" a="1"/>
  <c r="D60" i="16" s="1"/>
  <c r="C60" i="16" a="1"/>
  <c r="C60" i="16" s="1"/>
  <c r="D59" i="16" a="1"/>
  <c r="D59" i="16" s="1"/>
  <c r="C59" i="16" a="1"/>
  <c r="C59" i="16" s="1"/>
  <c r="D58" i="16" a="1"/>
  <c r="D58" i="16" s="1"/>
  <c r="C58" i="16" a="1"/>
  <c r="C58" i="16" s="1"/>
  <c r="D57" i="16" a="1"/>
  <c r="D57" i="16" s="1"/>
  <c r="C57" i="16" a="1"/>
  <c r="C57" i="16" s="1"/>
  <c r="D56" i="16" a="1"/>
  <c r="D56" i="16" s="1"/>
  <c r="C56" i="16" a="1"/>
  <c r="C56" i="16" s="1"/>
  <c r="D55" i="16" a="1"/>
  <c r="D55" i="16" s="1"/>
  <c r="C55" i="16" a="1"/>
  <c r="C55" i="16" s="1"/>
  <c r="D54" i="16" a="1"/>
  <c r="D54" i="16" s="1"/>
  <c r="C54" i="16" a="1"/>
  <c r="C54" i="16" s="1"/>
  <c r="D53" i="16" a="1"/>
  <c r="D53" i="16" s="1"/>
  <c r="C53" i="16" a="1"/>
  <c r="C53" i="16" s="1"/>
  <c r="D52" i="16" a="1"/>
  <c r="D52" i="16" s="1"/>
  <c r="C52" i="16" a="1"/>
  <c r="C52" i="16" s="1"/>
  <c r="D64" i="15" a="1"/>
  <c r="D64" i="15" s="1"/>
  <c r="C64" i="15" a="1"/>
  <c r="C64" i="15" s="1"/>
  <c r="D63" i="15" a="1"/>
  <c r="D63" i="15" s="1"/>
  <c r="C63" i="15" a="1"/>
  <c r="C63" i="15" s="1"/>
  <c r="D62" i="15" a="1"/>
  <c r="D62" i="15" s="1"/>
  <c r="C62" i="15" a="1"/>
  <c r="C62" i="15" s="1"/>
  <c r="D61" i="15" a="1"/>
  <c r="D61" i="15" s="1"/>
  <c r="C61" i="15" a="1"/>
  <c r="C61" i="15" s="1"/>
  <c r="D60" i="15" a="1"/>
  <c r="D60" i="15" s="1"/>
  <c r="C60" i="15" a="1"/>
  <c r="C60" i="15" s="1"/>
  <c r="D59" i="15" a="1"/>
  <c r="D59" i="15" s="1"/>
  <c r="C59" i="15" a="1"/>
  <c r="C59" i="15" s="1"/>
  <c r="D58" i="15" a="1"/>
  <c r="D58" i="15" s="1"/>
  <c r="C58" i="15" a="1"/>
  <c r="C58" i="15" s="1"/>
  <c r="D57" i="15" a="1"/>
  <c r="D57" i="15" s="1"/>
  <c r="C57" i="15" a="1"/>
  <c r="C57" i="15" s="1"/>
  <c r="D56" i="15" a="1"/>
  <c r="D56" i="15" s="1"/>
  <c r="C56" i="15" a="1"/>
  <c r="C56" i="15" s="1"/>
  <c r="D55" i="15" a="1"/>
  <c r="D55" i="15" s="1"/>
  <c r="C55" i="15" a="1"/>
  <c r="C55" i="15" s="1"/>
  <c r="D54" i="15" a="1"/>
  <c r="D54" i="15" s="1"/>
  <c r="C54" i="15" a="1"/>
  <c r="C54" i="15" s="1"/>
  <c r="D53" i="15" a="1"/>
  <c r="D53" i="15" s="1"/>
  <c r="C53" i="15" a="1"/>
  <c r="C53" i="15" s="1"/>
  <c r="D52" i="15" a="1"/>
  <c r="D52" i="15" s="1"/>
  <c r="C52" i="15" a="1"/>
  <c r="C52" i="15" s="1"/>
  <c r="D64" i="14" a="1"/>
  <c r="D64" i="14" s="1"/>
  <c r="C64" i="14" a="1"/>
  <c r="C64" i="14" s="1"/>
  <c r="D63" i="14" a="1"/>
  <c r="D63" i="14" s="1"/>
  <c r="C63" i="14" a="1"/>
  <c r="C63" i="14" s="1"/>
  <c r="D62" i="14" a="1"/>
  <c r="D62" i="14" s="1"/>
  <c r="C62" i="14" a="1"/>
  <c r="C62" i="14" s="1"/>
  <c r="D61" i="14" a="1"/>
  <c r="D61" i="14" s="1"/>
  <c r="C61" i="14" a="1"/>
  <c r="C61" i="14" s="1"/>
  <c r="D60" i="14" a="1"/>
  <c r="D60" i="14" s="1"/>
  <c r="C60" i="14" a="1"/>
  <c r="C60" i="14" s="1"/>
  <c r="D59" i="14" a="1"/>
  <c r="D59" i="14" s="1"/>
  <c r="C59" i="14" a="1"/>
  <c r="C59" i="14" s="1"/>
  <c r="D58" i="14" a="1"/>
  <c r="D58" i="14" s="1"/>
  <c r="C58" i="14" a="1"/>
  <c r="C58" i="14" s="1"/>
  <c r="D57" i="14" a="1"/>
  <c r="D57" i="14" s="1"/>
  <c r="C57" i="14" a="1"/>
  <c r="C57" i="14" s="1"/>
  <c r="D56" i="14" a="1"/>
  <c r="D56" i="14" s="1"/>
  <c r="C56" i="14" a="1"/>
  <c r="C56" i="14" s="1"/>
  <c r="D55" i="14" a="1"/>
  <c r="D55" i="14" s="1"/>
  <c r="C55" i="14" a="1"/>
  <c r="C55" i="14" s="1"/>
  <c r="D54" i="14" a="1"/>
  <c r="D54" i="14" s="1"/>
  <c r="C54" i="14" a="1"/>
  <c r="C54" i="14" s="1"/>
  <c r="D53" i="14" a="1"/>
  <c r="D53" i="14" s="1"/>
  <c r="C53" i="14" a="1"/>
  <c r="C53" i="14" s="1"/>
  <c r="D52" i="14" a="1"/>
  <c r="D52" i="14" s="1"/>
  <c r="C52" i="14" a="1"/>
  <c r="C52" i="14" s="1"/>
  <c r="D64" i="13" a="1"/>
  <c r="D64" i="13" s="1"/>
  <c r="C64" i="13" a="1"/>
  <c r="C64" i="13" s="1"/>
  <c r="D63" i="13" a="1"/>
  <c r="D63" i="13" s="1"/>
  <c r="C63" i="13" a="1"/>
  <c r="C63" i="13" s="1"/>
  <c r="D62" i="13" a="1"/>
  <c r="D62" i="13" s="1"/>
  <c r="C62" i="13" a="1"/>
  <c r="C62" i="13" s="1"/>
  <c r="D61" i="13" a="1"/>
  <c r="D61" i="13" s="1"/>
  <c r="C61" i="13" a="1"/>
  <c r="C61" i="13" s="1"/>
  <c r="D60" i="13" a="1"/>
  <c r="D60" i="13" s="1"/>
  <c r="C60" i="13" a="1"/>
  <c r="C60" i="13" s="1"/>
  <c r="D59" i="13" a="1"/>
  <c r="D59" i="13" s="1"/>
  <c r="C59" i="13" a="1"/>
  <c r="C59" i="13" s="1"/>
  <c r="D58" i="13" a="1"/>
  <c r="D58" i="13" s="1"/>
  <c r="C58" i="13" a="1"/>
  <c r="C58" i="13" s="1"/>
  <c r="D57" i="13" a="1"/>
  <c r="D57" i="13" s="1"/>
  <c r="C57" i="13" a="1"/>
  <c r="C57" i="13" s="1"/>
  <c r="D56" i="13" a="1"/>
  <c r="D56" i="13" s="1"/>
  <c r="C56" i="13" a="1"/>
  <c r="C56" i="13" s="1"/>
  <c r="D55" i="13" a="1"/>
  <c r="D55" i="13" s="1"/>
  <c r="C55" i="13" a="1"/>
  <c r="C55" i="13" s="1"/>
  <c r="D54" i="13" a="1"/>
  <c r="D54" i="13" s="1"/>
  <c r="C54" i="13" a="1"/>
  <c r="C54" i="13" s="1"/>
  <c r="D53" i="13" a="1"/>
  <c r="D53" i="13" s="1"/>
  <c r="C53" i="13" a="1"/>
  <c r="C53" i="13" s="1"/>
  <c r="D52" i="13" a="1"/>
  <c r="D52" i="13" s="1"/>
  <c r="C52" i="13" a="1"/>
  <c r="C52" i="13" s="1"/>
  <c r="D53" i="27" a="1"/>
  <c r="D53" i="27" s="1"/>
  <c r="D54" i="27" a="1"/>
  <c r="D54" i="27" s="1"/>
  <c r="D55" i="27" a="1"/>
  <c r="D55" i="27" s="1"/>
  <c r="D56" i="27" a="1"/>
  <c r="D56" i="27" s="1"/>
  <c r="D57" i="27" a="1"/>
  <c r="D57" i="27" s="1"/>
  <c r="D58" i="27" a="1"/>
  <c r="D58" i="27" s="1"/>
  <c r="D59" i="27" a="1"/>
  <c r="D59" i="27" s="1"/>
  <c r="D60" i="27" a="1"/>
  <c r="D60" i="27" s="1"/>
  <c r="D61" i="27" a="1"/>
  <c r="D61" i="27" s="1"/>
  <c r="D62" i="27" a="1"/>
  <c r="D62" i="27" s="1"/>
  <c r="D63" i="27" a="1"/>
  <c r="D63" i="27" s="1"/>
  <c r="D64" i="27" a="1"/>
  <c r="D64" i="27" s="1"/>
  <c r="C53" i="27" a="1"/>
  <c r="C53" i="27" s="1"/>
  <c r="C54" i="27" a="1"/>
  <c r="C54" i="27" s="1"/>
  <c r="C55" i="27" a="1"/>
  <c r="C55" i="27" s="1"/>
  <c r="C56" i="27" a="1"/>
  <c r="C56" i="27" s="1"/>
  <c r="C57" i="27" a="1"/>
  <c r="C57" i="27" s="1"/>
  <c r="C58" i="27" a="1"/>
  <c r="C58" i="27" s="1"/>
  <c r="C59" i="27" a="1"/>
  <c r="C59" i="27" s="1"/>
  <c r="C60" i="27" a="1"/>
  <c r="C60" i="27" s="1"/>
  <c r="C61" i="27" a="1"/>
  <c r="C61" i="27" s="1"/>
  <c r="C62" i="27" a="1"/>
  <c r="C62" i="27" s="1"/>
  <c r="C63" i="27" a="1"/>
  <c r="C63" i="27" s="1"/>
  <c r="C64" i="27" a="1"/>
  <c r="C64" i="27" s="1"/>
  <c r="C52" i="27" a="1"/>
  <c r="C52" i="27" s="1"/>
  <c r="D52" i="27" a="1"/>
  <c r="D52" i="27" s="1"/>
  <c r="E57" i="24" l="1"/>
  <c r="E60" i="25"/>
  <c r="E56" i="13"/>
  <c r="E58" i="15"/>
  <c r="E62" i="15"/>
  <c r="E64" i="15"/>
  <c r="E58" i="19"/>
  <c r="E56" i="23"/>
  <c r="E62" i="23"/>
  <c r="E52" i="27"/>
  <c r="E63" i="27"/>
  <c r="E59" i="27"/>
  <c r="E55" i="27"/>
  <c r="E62" i="27"/>
  <c r="E58" i="27"/>
  <c r="E54" i="27"/>
  <c r="E61" i="27"/>
  <c r="E57" i="27"/>
  <c r="E53" i="27"/>
  <c r="E53" i="23"/>
  <c r="E64" i="27"/>
  <c r="E60" i="27"/>
  <c r="E56" i="27"/>
  <c r="E53" i="25"/>
  <c r="E55" i="25"/>
  <c r="E57" i="25"/>
  <c r="E59" i="25"/>
  <c r="E61" i="23"/>
  <c r="E53" i="22"/>
  <c r="E55" i="22"/>
  <c r="E57" i="22"/>
  <c r="E59" i="22"/>
  <c r="E61" i="22"/>
  <c r="E63" i="19"/>
  <c r="E56" i="19"/>
  <c r="E55" i="18"/>
  <c r="E63" i="18"/>
  <c r="E54" i="18"/>
  <c r="E58" i="18"/>
  <c r="E60" i="16"/>
  <c r="E52" i="14"/>
  <c r="E63" i="25"/>
  <c r="E56" i="25"/>
  <c r="E52" i="25"/>
  <c r="E62" i="25"/>
  <c r="E54" i="25"/>
  <c r="E58" i="25"/>
  <c r="E61" i="25"/>
  <c r="E64" i="25"/>
  <c r="E59" i="24"/>
  <c r="E61" i="24"/>
  <c r="E63" i="24"/>
  <c r="E58" i="24"/>
  <c r="E54" i="24"/>
  <c r="E56" i="24"/>
  <c r="E60" i="24"/>
  <c r="E62" i="24"/>
  <c r="E52" i="24"/>
  <c r="E53" i="24"/>
  <c r="E55" i="24"/>
  <c r="E64" i="24"/>
  <c r="E59" i="23"/>
  <c r="E55" i="23"/>
  <c r="E54" i="23"/>
  <c r="E52" i="23"/>
  <c r="E58" i="23"/>
  <c r="E63" i="23"/>
  <c r="E60" i="23"/>
  <c r="E57" i="23"/>
  <c r="E64" i="23"/>
  <c r="E52" i="22"/>
  <c r="E64" i="22"/>
  <c r="E56" i="22"/>
  <c r="E60" i="22"/>
  <c r="E63" i="22"/>
  <c r="E54" i="22"/>
  <c r="E58" i="22"/>
  <c r="E62" i="22"/>
  <c r="E52" i="21"/>
  <c r="E53" i="21"/>
  <c r="E55" i="21"/>
  <c r="E57" i="21"/>
  <c r="E59" i="21"/>
  <c r="E61" i="21"/>
  <c r="E63" i="21"/>
  <c r="E54" i="21"/>
  <c r="E56" i="21"/>
  <c r="E58" i="21"/>
  <c r="E60" i="21"/>
  <c r="E62" i="21"/>
  <c r="E64" i="21"/>
  <c r="E52" i="20"/>
  <c r="E53" i="20"/>
  <c r="E55" i="20"/>
  <c r="E57" i="20"/>
  <c r="E59" i="20"/>
  <c r="E61" i="20"/>
  <c r="E63" i="20"/>
  <c r="E54" i="20"/>
  <c r="E56" i="20"/>
  <c r="E58" i="20"/>
  <c r="E60" i="20"/>
  <c r="E62" i="20"/>
  <c r="E64" i="20"/>
  <c r="E61" i="19"/>
  <c r="E53" i="19"/>
  <c r="E60" i="19"/>
  <c r="E52" i="19"/>
  <c r="E55" i="19"/>
  <c r="E57" i="19"/>
  <c r="E62" i="19"/>
  <c r="E54" i="19"/>
  <c r="E59" i="19"/>
  <c r="E64" i="19"/>
  <c r="E53" i="18"/>
  <c r="E61" i="18"/>
  <c r="E57" i="18"/>
  <c r="E60" i="18"/>
  <c r="E62" i="18"/>
  <c r="E52" i="18"/>
  <c r="E56" i="18"/>
  <c r="E59" i="18"/>
  <c r="E64" i="18"/>
  <c r="E57" i="16"/>
  <c r="E54" i="16"/>
  <c r="E62" i="16"/>
  <c r="E58" i="16"/>
  <c r="E52" i="16"/>
  <c r="E59" i="16"/>
  <c r="E64" i="16"/>
  <c r="E53" i="16"/>
  <c r="E56" i="16"/>
  <c r="E61" i="16"/>
  <c r="E55" i="16"/>
  <c r="E63" i="16"/>
  <c r="E55" i="15"/>
  <c r="E60" i="15"/>
  <c r="E56" i="15"/>
  <c r="E54" i="15"/>
  <c r="E59" i="15"/>
  <c r="E57" i="15"/>
  <c r="E63" i="15"/>
  <c r="E52" i="15"/>
  <c r="E53" i="15"/>
  <c r="E61" i="15"/>
  <c r="E54" i="14"/>
  <c r="E56" i="14"/>
  <c r="E58" i="14"/>
  <c r="E60" i="14"/>
  <c r="E62" i="14"/>
  <c r="E64" i="14"/>
  <c r="E55" i="14"/>
  <c r="E59" i="14"/>
  <c r="E63" i="14"/>
  <c r="E53" i="14"/>
  <c r="E57" i="14"/>
  <c r="E61" i="14"/>
  <c r="E54" i="13"/>
  <c r="E58" i="13"/>
  <c r="E60" i="13"/>
  <c r="E62" i="13"/>
  <c r="E64" i="13"/>
  <c r="E52" i="13"/>
  <c r="E53" i="13"/>
  <c r="E55" i="13"/>
  <c r="E57" i="13"/>
  <c r="E59" i="13"/>
  <c r="E61" i="13"/>
  <c r="E63" i="13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E32" i="27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E46" i="24" l="1"/>
  <c r="E38" i="24"/>
  <c r="E32" i="24"/>
  <c r="E25" i="24"/>
  <c r="E20" i="24"/>
  <c r="E15" i="24"/>
  <c r="E8" i="24"/>
  <c r="E5" i="24"/>
  <c r="E48" i="23"/>
  <c r="E40" i="23"/>
  <c r="E33" i="23"/>
  <c r="E27" i="23"/>
  <c r="E24" i="23"/>
  <c r="E17" i="23"/>
  <c r="E15" i="23"/>
  <c r="E13" i="23"/>
  <c r="E11" i="23"/>
  <c r="E9" i="23"/>
  <c r="E7" i="23"/>
  <c r="E5" i="23"/>
  <c r="E3" i="23"/>
  <c r="E51" i="22"/>
  <c r="E47" i="22"/>
  <c r="E44" i="22"/>
  <c r="E43" i="22"/>
  <c r="E39" i="22"/>
  <c r="E36" i="22"/>
  <c r="E35" i="22"/>
  <c r="E34" i="22"/>
  <c r="E33" i="22"/>
  <c r="E32" i="22"/>
  <c r="E31" i="22"/>
  <c r="E30" i="22"/>
  <c r="E29" i="22"/>
  <c r="E28" i="22"/>
  <c r="E27" i="22"/>
  <c r="E25" i="22"/>
  <c r="E23" i="22"/>
  <c r="E16" i="22"/>
  <c r="E13" i="22"/>
  <c r="E49" i="21"/>
  <c r="E46" i="21"/>
  <c r="E41" i="21"/>
  <c r="E38" i="21"/>
  <c r="E34" i="21"/>
  <c r="E32" i="21"/>
  <c r="E25" i="21"/>
  <c r="E18" i="21"/>
  <c r="E11" i="21"/>
  <c r="E10" i="21"/>
  <c r="E9" i="21"/>
  <c r="E8" i="21"/>
  <c r="E7" i="21"/>
  <c r="E6" i="21"/>
  <c r="E5" i="21"/>
  <c r="E4" i="21"/>
  <c r="E3" i="21"/>
  <c r="E2" i="21"/>
  <c r="E26" i="20"/>
  <c r="E30" i="20"/>
  <c r="E39" i="20"/>
  <c r="E44" i="20"/>
  <c r="E47" i="20"/>
  <c r="E23" i="20"/>
  <c r="E21" i="20"/>
  <c r="E8" i="20"/>
  <c r="E4" i="20"/>
  <c r="E25" i="19"/>
  <c r="E23" i="19"/>
  <c r="E21" i="19"/>
  <c r="E14" i="19"/>
  <c r="E13" i="19"/>
  <c r="E11" i="19"/>
  <c r="E10" i="19"/>
  <c r="E6" i="19"/>
  <c r="E20" i="18"/>
  <c r="E18" i="18"/>
  <c r="E16" i="18"/>
  <c r="E13" i="18"/>
  <c r="E8" i="18"/>
  <c r="E2" i="18"/>
  <c r="E44" i="25" l="1"/>
  <c r="E46" i="25"/>
  <c r="E48" i="25"/>
  <c r="E17" i="25"/>
  <c r="E23" i="25"/>
  <c r="E39" i="25"/>
  <c r="E2" i="25"/>
  <c r="E13" i="25"/>
  <c r="E4" i="25"/>
  <c r="E8" i="25"/>
  <c r="E20" i="25"/>
  <c r="E12" i="25"/>
  <c r="E50" i="25"/>
  <c r="E42" i="25"/>
  <c r="E25" i="25"/>
  <c r="E27" i="25"/>
  <c r="E28" i="25"/>
  <c r="E30" i="25"/>
  <c r="E32" i="25"/>
  <c r="E33" i="25"/>
  <c r="E35" i="25"/>
  <c r="E41" i="25"/>
  <c r="E38" i="25"/>
  <c r="E18" i="25"/>
  <c r="E16" i="25"/>
  <c r="E19" i="25"/>
  <c r="E6" i="25"/>
  <c r="E10" i="25"/>
  <c r="E14" i="25"/>
  <c r="E5" i="25"/>
  <c r="E9" i="25"/>
  <c r="E15" i="25"/>
  <c r="E3" i="25"/>
  <c r="E7" i="25"/>
  <c r="E11" i="25"/>
  <c r="E21" i="25"/>
  <c r="E43" i="25"/>
  <c r="E22" i="25"/>
  <c r="E24" i="25"/>
  <c r="E26" i="25"/>
  <c r="E29" i="25"/>
  <c r="E31" i="25"/>
  <c r="E34" i="25"/>
  <c r="E36" i="25"/>
  <c r="E37" i="25"/>
  <c r="E40" i="25"/>
  <c r="E45" i="25"/>
  <c r="E47" i="25"/>
  <c r="E49" i="25"/>
  <c r="E51" i="25"/>
  <c r="E36" i="24"/>
  <c r="E43" i="24"/>
  <c r="E51" i="24"/>
  <c r="E33" i="24"/>
  <c r="E48" i="24"/>
  <c r="E40" i="24"/>
  <c r="E44" i="24"/>
  <c r="E22" i="24"/>
  <c r="E29" i="24"/>
  <c r="E27" i="24"/>
  <c r="E23" i="24"/>
  <c r="E30" i="24"/>
  <c r="E21" i="24"/>
  <c r="E19" i="24"/>
  <c r="E3" i="24"/>
  <c r="E13" i="24"/>
  <c r="E11" i="24"/>
  <c r="E7" i="24"/>
  <c r="E16" i="24"/>
  <c r="E2" i="24"/>
  <c r="E10" i="24"/>
  <c r="E12" i="24"/>
  <c r="E4" i="24"/>
  <c r="E14" i="24"/>
  <c r="E6" i="24"/>
  <c r="E9" i="24"/>
  <c r="E18" i="24"/>
  <c r="E24" i="24"/>
  <c r="E31" i="24"/>
  <c r="E37" i="24"/>
  <c r="E45" i="24"/>
  <c r="E26" i="24"/>
  <c r="E28" i="24"/>
  <c r="E35" i="24"/>
  <c r="E39" i="24"/>
  <c r="E42" i="24"/>
  <c r="E47" i="24"/>
  <c r="E50" i="24"/>
  <c r="E17" i="24"/>
  <c r="E34" i="24"/>
  <c r="E41" i="24"/>
  <c r="E49" i="24"/>
  <c r="E28" i="23"/>
  <c r="E31" i="23"/>
  <c r="E37" i="23"/>
  <c r="E45" i="23"/>
  <c r="E35" i="23"/>
  <c r="E42" i="23"/>
  <c r="E50" i="23"/>
  <c r="E32" i="23"/>
  <c r="E38" i="23"/>
  <c r="E46" i="23"/>
  <c r="E25" i="23"/>
  <c r="E19" i="23"/>
  <c r="E4" i="23"/>
  <c r="E6" i="23"/>
  <c r="E8" i="23"/>
  <c r="E10" i="23"/>
  <c r="E12" i="23"/>
  <c r="E14" i="23"/>
  <c r="E16" i="23"/>
  <c r="E2" i="23"/>
  <c r="E26" i="23"/>
  <c r="E39" i="23"/>
  <c r="E47" i="23"/>
  <c r="E18" i="23"/>
  <c r="E21" i="23"/>
  <c r="E23" i="23"/>
  <c r="E30" i="23"/>
  <c r="E34" i="23"/>
  <c r="E41" i="23"/>
  <c r="E44" i="23"/>
  <c r="E49" i="23"/>
  <c r="E20" i="23"/>
  <c r="E22" i="23"/>
  <c r="E29" i="23"/>
  <c r="E36" i="23"/>
  <c r="E43" i="23"/>
  <c r="E51" i="23"/>
  <c r="E38" i="22"/>
  <c r="E46" i="22"/>
  <c r="E42" i="22"/>
  <c r="E50" i="22"/>
  <c r="E22" i="22"/>
  <c r="E24" i="22"/>
  <c r="E26" i="22"/>
  <c r="E18" i="22"/>
  <c r="E20" i="22"/>
  <c r="E19" i="22"/>
  <c r="E21" i="22"/>
  <c r="E3" i="22"/>
  <c r="E6" i="22"/>
  <c r="E11" i="22"/>
  <c r="E9" i="22"/>
  <c r="E8" i="22"/>
  <c r="E5" i="22"/>
  <c r="E15" i="22"/>
  <c r="E2" i="22"/>
  <c r="E10" i="22"/>
  <c r="E12" i="22"/>
  <c r="E4" i="22"/>
  <c r="E7" i="22"/>
  <c r="E14" i="22"/>
  <c r="E41" i="22"/>
  <c r="E49" i="22"/>
  <c r="E37" i="22"/>
  <c r="E40" i="22"/>
  <c r="E45" i="22"/>
  <c r="E48" i="22"/>
  <c r="E17" i="22"/>
  <c r="E44" i="21"/>
  <c r="E43" i="21"/>
  <c r="E51" i="21"/>
  <c r="E40" i="21"/>
  <c r="E48" i="21"/>
  <c r="E23" i="21"/>
  <c r="E30" i="21"/>
  <c r="E22" i="21"/>
  <c r="E29" i="21"/>
  <c r="E36" i="21"/>
  <c r="E27" i="21"/>
  <c r="E33" i="21"/>
  <c r="E21" i="21"/>
  <c r="E13" i="21"/>
  <c r="E20" i="21"/>
  <c r="E16" i="21"/>
  <c r="E12" i="21"/>
  <c r="E15" i="21"/>
  <c r="E14" i="21"/>
  <c r="E17" i="21"/>
  <c r="E24" i="21"/>
  <c r="E31" i="21"/>
  <c r="E37" i="21"/>
  <c r="E45" i="21"/>
  <c r="E19" i="21"/>
  <c r="E26" i="21"/>
  <c r="E28" i="21"/>
  <c r="E35" i="21"/>
  <c r="E39" i="21"/>
  <c r="E42" i="21"/>
  <c r="E47" i="21"/>
  <c r="E50" i="21"/>
  <c r="E50" i="20"/>
  <c r="E42" i="20"/>
  <c r="E46" i="20"/>
  <c r="E45" i="20"/>
  <c r="E28" i="20"/>
  <c r="E35" i="20"/>
  <c r="E32" i="20"/>
  <c r="E38" i="20"/>
  <c r="E25" i="20"/>
  <c r="E24" i="20"/>
  <c r="E31" i="20"/>
  <c r="E37" i="20"/>
  <c r="E19" i="20"/>
  <c r="E13" i="20"/>
  <c r="E15" i="20"/>
  <c r="E14" i="20"/>
  <c r="E16" i="20"/>
  <c r="E7" i="20"/>
  <c r="E3" i="20"/>
  <c r="E11" i="20"/>
  <c r="E6" i="20"/>
  <c r="E9" i="20"/>
  <c r="E2" i="20"/>
  <c r="E5" i="20"/>
  <c r="E10" i="20"/>
  <c r="E12" i="20"/>
  <c r="E18" i="20"/>
  <c r="E34" i="20"/>
  <c r="E41" i="20"/>
  <c r="E49" i="20"/>
  <c r="E20" i="20"/>
  <c r="E22" i="20"/>
  <c r="E29" i="20"/>
  <c r="E36" i="20"/>
  <c r="E43" i="20"/>
  <c r="E51" i="20"/>
  <c r="E17" i="20"/>
  <c r="E27" i="20"/>
  <c r="E33" i="20"/>
  <c r="E40" i="20"/>
  <c r="E48" i="20"/>
  <c r="E50" i="19"/>
  <c r="E27" i="19"/>
  <c r="E28" i="19"/>
  <c r="E30" i="19"/>
  <c r="E32" i="19"/>
  <c r="E33" i="19"/>
  <c r="E35" i="19"/>
  <c r="E38" i="19"/>
  <c r="E40" i="19"/>
  <c r="E42" i="19"/>
  <c r="E44" i="19"/>
  <c r="E46" i="19"/>
  <c r="E48" i="19"/>
  <c r="E19" i="19"/>
  <c r="E12" i="19"/>
  <c r="E15" i="19"/>
  <c r="E9" i="19"/>
  <c r="E5" i="19"/>
  <c r="E2" i="19"/>
  <c r="E3" i="19"/>
  <c r="E8" i="19"/>
  <c r="E4" i="19"/>
  <c r="E7" i="19"/>
  <c r="E16" i="19"/>
  <c r="E18" i="19"/>
  <c r="E20" i="19"/>
  <c r="E22" i="19"/>
  <c r="E24" i="19"/>
  <c r="E26" i="19"/>
  <c r="E29" i="19"/>
  <c r="E31" i="19"/>
  <c r="E34" i="19"/>
  <c r="E36" i="19"/>
  <c r="E37" i="19"/>
  <c r="E39" i="19"/>
  <c r="E41" i="19"/>
  <c r="E43" i="19"/>
  <c r="E45" i="19"/>
  <c r="E47" i="19"/>
  <c r="E49" i="19"/>
  <c r="E51" i="19"/>
  <c r="E17" i="19"/>
  <c r="E11" i="18"/>
  <c r="E7" i="18"/>
  <c r="E4" i="18"/>
  <c r="E3" i="18"/>
  <c r="E6" i="18"/>
  <c r="E9" i="18"/>
  <c r="E5" i="18"/>
  <c r="E10" i="18"/>
  <c r="E12" i="18"/>
  <c r="E15" i="18"/>
  <c r="E14" i="18"/>
  <c r="E22" i="18"/>
  <c r="E24" i="18"/>
  <c r="E26" i="18"/>
  <c r="E29" i="18"/>
  <c r="E31" i="18"/>
  <c r="E34" i="18"/>
  <c r="E36" i="18"/>
  <c r="E37" i="18"/>
  <c r="E39" i="18"/>
  <c r="E41" i="18"/>
  <c r="E43" i="18"/>
  <c r="E45" i="18"/>
  <c r="E47" i="18"/>
  <c r="E49" i="18"/>
  <c r="E51" i="18"/>
  <c r="E17" i="18"/>
  <c r="E19" i="18"/>
  <c r="E21" i="18"/>
  <c r="E23" i="18"/>
  <c r="E25" i="18"/>
  <c r="E27" i="18"/>
  <c r="E28" i="18"/>
  <c r="E30" i="18"/>
  <c r="E32" i="18"/>
  <c r="E33" i="18"/>
  <c r="E35" i="18"/>
  <c r="E38" i="18"/>
  <c r="E40" i="18"/>
  <c r="E42" i="18"/>
  <c r="E44" i="18"/>
  <c r="E46" i="18"/>
  <c r="E48" i="18"/>
  <c r="E50" i="18"/>
  <c r="E50" i="16"/>
  <c r="E48" i="16"/>
  <c r="E46" i="16"/>
  <c r="E42" i="16"/>
  <c r="E35" i="16"/>
  <c r="E33" i="16"/>
  <c r="E32" i="16"/>
  <c r="E30" i="16"/>
  <c r="E25" i="16"/>
  <c r="E23" i="16"/>
  <c r="E21" i="16"/>
  <c r="E19" i="16"/>
  <c r="E6" i="16"/>
  <c r="E44" i="15"/>
  <c r="E21" i="15"/>
  <c r="E15" i="15"/>
  <c r="E12" i="15"/>
  <c r="E50" i="14"/>
  <c r="E49" i="14"/>
  <c r="E48" i="14"/>
  <c r="E47" i="14"/>
  <c r="E46" i="14"/>
  <c r="E33" i="14"/>
  <c r="E30" i="14"/>
  <c r="E27" i="14"/>
  <c r="E21" i="14"/>
  <c r="E20" i="14"/>
  <c r="E19" i="14"/>
  <c r="E18" i="14"/>
  <c r="E16" i="14"/>
  <c r="E15" i="14"/>
  <c r="E14" i="14"/>
  <c r="E12" i="14"/>
  <c r="E9" i="14"/>
  <c r="E5" i="14"/>
  <c r="E4" i="14"/>
  <c r="E2" i="14"/>
  <c r="E51" i="13"/>
  <c r="E50" i="13"/>
  <c r="E49" i="13"/>
  <c r="E47" i="13"/>
  <c r="E46" i="13"/>
  <c r="E45" i="13"/>
  <c r="E44" i="13"/>
  <c r="E43" i="13"/>
  <c r="E22" i="13"/>
  <c r="E8" i="15" l="1"/>
  <c r="E16" i="15"/>
  <c r="E41" i="15"/>
  <c r="E49" i="15"/>
  <c r="E6" i="15"/>
  <c r="E10" i="15"/>
  <c r="E14" i="15"/>
  <c r="E19" i="15"/>
  <c r="E46" i="15"/>
  <c r="E5" i="15"/>
  <c r="E7" i="15"/>
  <c r="E9" i="15"/>
  <c r="E11" i="15"/>
  <c r="E18" i="15"/>
  <c r="E23" i="15"/>
  <c r="E30" i="15"/>
  <c r="E42" i="15"/>
  <c r="E50" i="15"/>
  <c r="E8" i="16"/>
  <c r="E18" i="16"/>
  <c r="E24" i="16"/>
  <c r="E27" i="16"/>
  <c r="E31" i="16"/>
  <c r="E34" i="16"/>
  <c r="E39" i="16"/>
  <c r="E41" i="16"/>
  <c r="E44" i="16"/>
  <c r="E47" i="16"/>
  <c r="E51" i="16"/>
  <c r="E11" i="16"/>
  <c r="E12" i="16"/>
  <c r="E14" i="16"/>
  <c r="E16" i="16"/>
  <c r="E20" i="16"/>
  <c r="E22" i="16"/>
  <c r="E26" i="16"/>
  <c r="E29" i="16"/>
  <c r="E36" i="16"/>
  <c r="E43" i="16"/>
  <c r="E45" i="16"/>
  <c r="E48" i="13"/>
  <c r="E7" i="13"/>
  <c r="E9" i="13"/>
  <c r="E11" i="13"/>
  <c r="E12" i="13"/>
  <c r="E14" i="13"/>
  <c r="E16" i="13"/>
  <c r="E18" i="13"/>
  <c r="E20" i="13"/>
  <c r="E29" i="13"/>
  <c r="E34" i="13"/>
  <c r="E36" i="13"/>
  <c r="E39" i="13"/>
  <c r="E13" i="14"/>
  <c r="E8" i="13"/>
  <c r="E10" i="13"/>
  <c r="E13" i="13"/>
  <c r="E15" i="13"/>
  <c r="E17" i="13"/>
  <c r="E19" i="13"/>
  <c r="E21" i="13"/>
  <c r="E23" i="13"/>
  <c r="E27" i="13"/>
  <c r="E33" i="13"/>
  <c r="E40" i="16"/>
  <c r="E38" i="16"/>
  <c r="E37" i="16"/>
  <c r="E28" i="16"/>
  <c r="E5" i="16"/>
  <c r="E4" i="16"/>
  <c r="E3" i="16"/>
  <c r="E2" i="16"/>
  <c r="E7" i="16"/>
  <c r="E10" i="16"/>
  <c r="E13" i="16"/>
  <c r="E15" i="16"/>
  <c r="E9" i="16"/>
  <c r="E49" i="16"/>
  <c r="E17" i="16"/>
  <c r="E38" i="15"/>
  <c r="E35" i="15"/>
  <c r="E34" i="15"/>
  <c r="E32" i="15"/>
  <c r="E28" i="15"/>
  <c r="E25" i="15"/>
  <c r="E2" i="15"/>
  <c r="E3" i="15"/>
  <c r="E13" i="15"/>
  <c r="E4" i="15"/>
  <c r="E20" i="15"/>
  <c r="E22" i="15"/>
  <c r="E29" i="15"/>
  <c r="E36" i="15"/>
  <c r="E43" i="15"/>
  <c r="E51" i="15"/>
  <c r="E17" i="15"/>
  <c r="E24" i="15"/>
  <c r="E27" i="15"/>
  <c r="E31" i="15"/>
  <c r="E33" i="15"/>
  <c r="E37" i="15"/>
  <c r="E40" i="15"/>
  <c r="E45" i="15"/>
  <c r="E48" i="15"/>
  <c r="E26" i="15"/>
  <c r="E39" i="15"/>
  <c r="E47" i="15"/>
  <c r="E45" i="14"/>
  <c r="E44" i="14"/>
  <c r="E43" i="14"/>
  <c r="E42" i="14"/>
  <c r="E41" i="14"/>
  <c r="E40" i="14"/>
  <c r="E39" i="14"/>
  <c r="E38" i="14"/>
  <c r="E37" i="14"/>
  <c r="E36" i="14"/>
  <c r="E35" i="14"/>
  <c r="E34" i="14"/>
  <c r="E32" i="14"/>
  <c r="E31" i="14"/>
  <c r="E29" i="14"/>
  <c r="E28" i="14"/>
  <c r="E26" i="14"/>
  <c r="E25" i="14"/>
  <c r="E24" i="14"/>
  <c r="E23" i="14"/>
  <c r="E22" i="14"/>
  <c r="E11" i="14"/>
  <c r="E10" i="14"/>
  <c r="E8" i="14"/>
  <c r="E7" i="14"/>
  <c r="E6" i="14"/>
  <c r="E3" i="14"/>
  <c r="E17" i="14"/>
  <c r="E51" i="14"/>
  <c r="E42" i="13"/>
  <c r="E41" i="13"/>
  <c r="E40" i="13"/>
  <c r="E38" i="13"/>
  <c r="E37" i="13"/>
  <c r="E35" i="13"/>
  <c r="E32" i="13"/>
  <c r="E31" i="13"/>
  <c r="E30" i="13"/>
  <c r="E28" i="13"/>
  <c r="E26" i="13"/>
  <c r="E25" i="13"/>
  <c r="E24" i="13"/>
  <c r="E6" i="13"/>
  <c r="E5" i="13"/>
  <c r="E4" i="13"/>
  <c r="E3" i="13"/>
  <c r="E2" i="13"/>
</calcChain>
</file>

<file path=xl/sharedStrings.xml><?xml version="1.0" encoding="utf-8"?>
<sst xmlns="http://schemas.openxmlformats.org/spreadsheetml/2006/main" count="1018" uniqueCount="46">
  <si>
    <t xml:space="preserve"> </t>
    <phoneticPr fontId="18" type="noConversion"/>
  </si>
  <si>
    <t>UserID</t>
    <phoneticPr fontId="18" type="noConversion"/>
  </si>
  <si>
    <t>Use</t>
    <phoneticPr fontId="18" type="noConversion"/>
  </si>
  <si>
    <t>Gen</t>
    <phoneticPr fontId="18" type="noConversion"/>
  </si>
  <si>
    <t>Role</t>
    <phoneticPr fontId="18" type="noConversion"/>
  </si>
  <si>
    <t>Time</t>
    <phoneticPr fontId="18" type="noConversion"/>
  </si>
  <si>
    <t>BUY_prosumer</t>
    <phoneticPr fontId="18" type="noConversion"/>
  </si>
  <si>
    <t>SELL_prosumer</t>
    <phoneticPr fontId="18" type="noConversion"/>
  </si>
  <si>
    <t>Consumer</t>
    <phoneticPr fontId="18" type="noConversion"/>
  </si>
  <si>
    <t>Use-Gen (to buy)</t>
    <phoneticPr fontId="18" type="noConversion"/>
  </si>
  <si>
    <t>Sum_generation</t>
    <phoneticPr fontId="18" type="noConversion"/>
  </si>
  <si>
    <t>Sum_use</t>
    <phoneticPr fontId="18" type="noConversion"/>
  </si>
  <si>
    <t>Sum_(Use-Gen )</t>
    <phoneticPr fontId="18" type="noConversion"/>
  </si>
  <si>
    <t>shiftable</t>
    <phoneticPr fontId="18" type="noConversion"/>
  </si>
  <si>
    <t>Base_load</t>
    <phoneticPr fontId="18" type="noConversion"/>
  </si>
  <si>
    <t>Sum_shiftable</t>
    <phoneticPr fontId="18" type="noConversion"/>
  </si>
  <si>
    <t>After</t>
    <phoneticPr fontId="18" type="noConversion"/>
  </si>
  <si>
    <t>shiftable</t>
  </si>
  <si>
    <t>Base_load</t>
  </si>
  <si>
    <t>P_out</t>
    <phoneticPr fontId="18" type="noConversion"/>
  </si>
  <si>
    <t>p_s</t>
    <phoneticPr fontId="18" type="noConversion"/>
  </si>
  <si>
    <t>p_b</t>
    <phoneticPr fontId="18" type="noConversion"/>
  </si>
  <si>
    <t>Ave_U_consumer</t>
    <phoneticPr fontId="18" type="noConversion"/>
  </si>
  <si>
    <t>Ave_U_prosumer</t>
    <phoneticPr fontId="18" type="noConversion"/>
  </si>
  <si>
    <t>retailer name</t>
  </si>
  <si>
    <t>a0</t>
  </si>
  <si>
    <t>a1</t>
  </si>
  <si>
    <t>a2</t>
  </si>
  <si>
    <t>gamma</t>
  </si>
  <si>
    <t>bid</t>
  </si>
  <si>
    <t>user_retailer_0</t>
  </si>
  <si>
    <t>user_retailer_1</t>
  </si>
  <si>
    <t>Time</t>
  </si>
  <si>
    <t>UserID</t>
  </si>
  <si>
    <t>Gen</t>
  </si>
  <si>
    <t>Use</t>
  </si>
  <si>
    <t>Use-Gen (to buy)</t>
  </si>
  <si>
    <t>Role</t>
  </si>
  <si>
    <t>BUY_prosumer</t>
  </si>
  <si>
    <t>SELL_prosumer</t>
  </si>
  <si>
    <t>Consumer</t>
  </si>
  <si>
    <t xml:space="preserve"> </t>
  </si>
  <si>
    <t>user_retailer_2</t>
  </si>
  <si>
    <t>K</t>
  </si>
  <si>
    <t>lambda</t>
  </si>
  <si>
    <t>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</si>
</sst>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2"/>
      <color rgb="FF006100"/>
      <name val="Calibri"/>
      <family val="2"/>
      <charset val="134"/>
      <scheme val="minor"/>
    </font>
    <font>
      <sz val="12"/>
      <color rgb="FF9C0006"/>
      <name val="Calibri"/>
      <family val="2"/>
      <charset val="134"/>
      <scheme val="minor"/>
    </font>
    <font>
      <sz val="12"/>
      <color rgb="FF9C5700"/>
      <name val="Calibri"/>
      <family val="2"/>
      <charset val="134"/>
      <scheme val="minor"/>
    </font>
    <font>
      <sz val="12"/>
      <color rgb="FF3F3F76"/>
      <name val="Calibri"/>
      <family val="2"/>
      <charset val="134"/>
      <scheme val="minor"/>
    </font>
    <font>
      <b/>
      <sz val="12"/>
      <color rgb="FF3F3F3F"/>
      <name val="Calibri"/>
      <family val="2"/>
      <charset val="134"/>
      <scheme val="minor"/>
    </font>
    <font>
      <b/>
      <sz val="12"/>
      <color rgb="FFFA7D00"/>
      <name val="Calibri"/>
      <family val="2"/>
      <charset val="134"/>
      <scheme val="minor"/>
    </font>
    <font>
      <sz val="12"/>
      <color rgb="FFFA7D00"/>
      <name val="Calibri"/>
      <family val="2"/>
      <charset val="134"/>
      <scheme val="minor"/>
    </font>
    <font>
      <b/>
      <sz val="12"/>
      <color theme="0"/>
      <name val="Calibri"/>
      <family val="2"/>
      <charset val="134"/>
      <scheme val="minor"/>
    </font>
    <font>
      <sz val="12"/>
      <color rgb="FFFF0000"/>
      <name val="Calibri"/>
      <family val="2"/>
      <charset val="134"/>
      <scheme val="minor"/>
    </font>
    <font>
      <i/>
      <sz val="12"/>
      <color rgb="FF7F7F7F"/>
      <name val="Calibri"/>
      <family val="2"/>
      <charset val="134"/>
      <scheme val="minor"/>
    </font>
    <font>
      <b/>
      <sz val="12"/>
      <color theme="1"/>
      <name val="Calibri"/>
      <family val="2"/>
      <charset val="134"/>
      <scheme val="minor"/>
    </font>
    <font>
      <sz val="12"/>
      <color theme="0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2"/>
      <color rgb="FF000000"/>
      <name val="Calibri"/>
      <family val="4"/>
      <charset val="134"/>
      <scheme val="minor"/>
    </font>
    <font>
      <sz val="18"/>
      <color theme="1"/>
      <name val="Calibri"/>
      <family val="2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0" borderId="0" xfId="0" applyFill="1">
      <alignment vertical="center"/>
    </xf>
    <xf numFmtId="22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0" fillId="35" borderId="0" xfId="0" applyFill="1">
      <alignment vertical="center"/>
    </xf>
    <xf numFmtId="0" fontId="20" fillId="0" borderId="0" xfId="0" applyFont="1" applyAlignment="1">
      <alignment horizontal="center" vertical="center"/>
    </xf>
    <xf numFmtId="0" fontId="20" fillId="33" borderId="10" xfId="0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24098252495251E-2"/>
          <c:y val="8.1573641378448553E-2"/>
          <c:w val="0.89898493969721638"/>
          <c:h val="0.78837800419604998"/>
        </c:manualLayout>
      </c:layout>
      <c:lineChart>
        <c:grouping val="standard"/>
        <c:varyColors val="0"/>
        <c:ser>
          <c:idx val="2"/>
          <c:order val="0"/>
          <c:tx>
            <c:strRef>
              <c:f>summary!$C$1</c:f>
              <c:strCache>
                <c:ptCount val="1"/>
                <c:pt idx="0">
                  <c:v>Sum_use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summary!$A$2:$A$14</c:f>
              <c:numCache>
                <c:formatCode>General</c:formatCode>
                <c:ptCount val="13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</c:numCache>
            </c:numRef>
          </c:cat>
          <c:val>
            <c:numRef>
              <c:f>summary!$C$2:$C$14</c:f>
              <c:numCache>
                <c:formatCode>General</c:formatCode>
                <c:ptCount val="13"/>
                <c:pt idx="0">
                  <c:v>56.358199999999947</c:v>
                </c:pt>
                <c:pt idx="1">
                  <c:v>59.664366666666595</c:v>
                </c:pt>
                <c:pt idx="2">
                  <c:v>64.530099999999905</c:v>
                </c:pt>
                <c:pt idx="3">
                  <c:v>72.183016666666575</c:v>
                </c:pt>
                <c:pt idx="4">
                  <c:v>95.246616666666583</c:v>
                </c:pt>
                <c:pt idx="5">
                  <c:v>117.39896666666654</c:v>
                </c:pt>
                <c:pt idx="6">
                  <c:v>131.19522777777763</c:v>
                </c:pt>
                <c:pt idx="7">
                  <c:v>136.33199848484836</c:v>
                </c:pt>
                <c:pt idx="8">
                  <c:v>153.76578999999981</c:v>
                </c:pt>
                <c:pt idx="9">
                  <c:v>163.109644025157</c:v>
                </c:pt>
                <c:pt idx="10">
                  <c:v>172.72228787878771</c:v>
                </c:pt>
                <c:pt idx="11">
                  <c:v>162.42139999999984</c:v>
                </c:pt>
                <c:pt idx="12">
                  <c:v>170.07875833333316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8B-7444-AD5A-9BBECA39C53F}"/>
            </c:ext>
          </c:extLst>
        </c:ser>
        <c:ser>
          <c:idx val="4"/>
          <c:order val="1"/>
          <c:tx>
            <c:strRef>
              <c:f>summary!$E$1</c:f>
              <c:strCache>
                <c:ptCount val="1"/>
                <c:pt idx="0">
                  <c:v>Sum_(Use-Gen 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summary!$A$2:$A$14</c:f>
              <c:numCache>
                <c:formatCode>General</c:formatCode>
                <c:ptCount val="13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</c:numCache>
            </c:numRef>
          </c:cat>
          <c:val>
            <c:numRef>
              <c:f>summary!$E$2:$E$14</c:f>
              <c:numCache>
                <c:formatCode>General</c:formatCode>
                <c:ptCount val="13"/>
                <c:pt idx="0">
                  <c:v>53.901116666666617</c:v>
                </c:pt>
                <c:pt idx="1">
                  <c:v>48.049183333333289</c:v>
                </c:pt>
                <c:pt idx="2">
                  <c:v>36.024516666666628</c:v>
                </c:pt>
                <c:pt idx="3">
                  <c:v>26.091849999999972</c:v>
                </c:pt>
                <c:pt idx="4">
                  <c:v>34.999416666666669</c:v>
                </c:pt>
                <c:pt idx="5">
                  <c:v>49.027866666666597</c:v>
                </c:pt>
                <c:pt idx="6">
                  <c:v>57.37249814814804</c:v>
                </c:pt>
                <c:pt idx="7">
                  <c:v>57.59225606060599</c:v>
                </c:pt>
                <c:pt idx="8">
                  <c:v>81.417229999999861</c:v>
                </c:pt>
                <c:pt idx="9">
                  <c:v>102.52235723270427</c:v>
                </c:pt>
                <c:pt idx="10">
                  <c:v>128.40045454545444</c:v>
                </c:pt>
                <c:pt idx="11">
                  <c:v>136.80562380952369</c:v>
                </c:pt>
                <c:pt idx="12">
                  <c:v>161.47229166666651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8B-7444-AD5A-9BBECA39C53F}"/>
            </c:ext>
          </c:extLst>
        </c:ser>
        <c:ser>
          <c:idx val="6"/>
          <c:order val="2"/>
          <c:tx>
            <c:strRef>
              <c:f>summary!$G$1</c:f>
              <c:strCache>
                <c:ptCount val="1"/>
                <c:pt idx="0">
                  <c:v>After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summary!$A$2:$A$14</c:f>
              <c:numCache>
                <c:formatCode>General</c:formatCode>
                <c:ptCount val="13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</c:numCache>
            </c:numRef>
          </c:cat>
          <c:val>
            <c:numRef>
              <c:f>summary!$G$2:$G$14</c:f>
              <c:numCache>
                <c:formatCode>General</c:formatCode>
                <c:ptCount val="13"/>
                <c:pt idx="0">
                  <c:v>58.108600000000003</c:v>
                </c:pt>
                <c:pt idx="1">
                  <c:v>59.09</c:v>
                </c:pt>
                <c:pt idx="2">
                  <c:v>76.872799999999998</c:v>
                </c:pt>
                <c:pt idx="3">
                  <c:v>68.749300000000005</c:v>
                </c:pt>
                <c:pt idx="4">
                  <c:v>74.438900000000004</c:v>
                </c:pt>
                <c:pt idx="5">
                  <c:v>93.648200000000003</c:v>
                </c:pt>
                <c:pt idx="6">
                  <c:v>84.078199999999995</c:v>
                </c:pt>
                <c:pt idx="7">
                  <c:v>80.722700000000003</c:v>
                </c:pt>
                <c:pt idx="8">
                  <c:v>76.388300000000001</c:v>
                </c:pt>
                <c:pt idx="9">
                  <c:v>83.6751</c:v>
                </c:pt>
                <c:pt idx="10">
                  <c:v>83.06</c:v>
                </c:pt>
                <c:pt idx="11">
                  <c:v>94.918400000000005</c:v>
                </c:pt>
                <c:pt idx="12">
                  <c:v>102.1579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8B-7444-AD5A-9BBECA39C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973952"/>
        <c:axId val="1573938080"/>
      </c:lineChart>
      <c:catAx>
        <c:axId val="210897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573938080"/>
        <c:crosses val="autoZero"/>
        <c:auto val="1"/>
        <c:lblAlgn val="ctr"/>
        <c:lblOffset val="100"/>
        <c:noMultiLvlLbl val="0"/>
      </c:catAx>
      <c:valAx>
        <c:axId val="157393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10897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387646381926314E-2"/>
          <c:y val="6.7236730647087309E-2"/>
          <c:w val="0.87637925251234927"/>
          <c:h val="0.6400934108401346"/>
        </c:manualLayout>
      </c:layout>
      <c:lineChart>
        <c:grouping val="standard"/>
        <c:varyColors val="0"/>
        <c:ser>
          <c:idx val="6"/>
          <c:order val="0"/>
          <c:tx>
            <c:strRef>
              <c:f>summary!$H$1</c:f>
              <c:strCache>
                <c:ptCount val="1"/>
                <c:pt idx="0">
                  <c:v>P_out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summary!$A$2:$A$14</c:f>
              <c:numCache>
                <c:formatCode>General</c:formatCode>
                <c:ptCount val="13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</c:numCache>
            </c:numRef>
          </c:cat>
          <c:val>
            <c:numRef>
              <c:f>summary!$H$2:$H$14</c:f>
              <c:numCache>
                <c:formatCode>General</c:formatCode>
                <c:ptCount val="13"/>
                <c:pt idx="0">
                  <c:v>0.22439999999999999</c:v>
                </c:pt>
                <c:pt idx="1">
                  <c:v>0.21299999999999999</c:v>
                </c:pt>
                <c:pt idx="2">
                  <c:v>0.2286</c:v>
                </c:pt>
                <c:pt idx="3">
                  <c:v>0.21490000000000001</c:v>
                </c:pt>
                <c:pt idx="4">
                  <c:v>0.21310000000000001</c:v>
                </c:pt>
                <c:pt idx="5">
                  <c:v>0.21010000000000001</c:v>
                </c:pt>
                <c:pt idx="6">
                  <c:v>0.20599999999999999</c:v>
                </c:pt>
                <c:pt idx="7">
                  <c:v>0.20899999999999999</c:v>
                </c:pt>
                <c:pt idx="8">
                  <c:v>0.21879999999999999</c:v>
                </c:pt>
                <c:pt idx="9">
                  <c:v>0.24440000000000001</c:v>
                </c:pt>
                <c:pt idx="10">
                  <c:v>0.2409</c:v>
                </c:pt>
                <c:pt idx="11">
                  <c:v>0.2432</c:v>
                </c:pt>
                <c:pt idx="12">
                  <c:v>0.25130000000000002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D12-D045-9DEB-13AC3FD2F102}"/>
            </c:ext>
          </c:extLst>
        </c:ser>
        <c:ser>
          <c:idx val="8"/>
          <c:order val="1"/>
          <c:tx>
            <c:strRef>
              <c:f>summary!$I$1</c:f>
              <c:strCache>
                <c:ptCount val="1"/>
                <c:pt idx="0">
                  <c:v>p_s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summary!$A$2:$A$14</c:f>
              <c:numCache>
                <c:formatCode>General</c:formatCode>
                <c:ptCount val="13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</c:numCache>
            </c:numRef>
          </c:cat>
          <c:val>
            <c:numRef>
              <c:f>summary!$I$2:$I$14</c:f>
              <c:numCache>
                <c:formatCode>General</c:formatCode>
                <c:ptCount val="13"/>
                <c:pt idx="0">
                  <c:v>0.22439999999999999</c:v>
                </c:pt>
                <c:pt idx="1">
                  <c:v>0.21299999999999999</c:v>
                </c:pt>
                <c:pt idx="2">
                  <c:v>0.2286</c:v>
                </c:pt>
                <c:pt idx="3">
                  <c:v>0.1139</c:v>
                </c:pt>
                <c:pt idx="4">
                  <c:v>0.1172</c:v>
                </c:pt>
                <c:pt idx="5">
                  <c:v>0.1113</c:v>
                </c:pt>
                <c:pt idx="6">
                  <c:v>0.1133</c:v>
                </c:pt>
                <c:pt idx="7">
                  <c:v>0.115</c:v>
                </c:pt>
                <c:pt idx="8">
                  <c:v>0.11600000000000001</c:v>
                </c:pt>
                <c:pt idx="9">
                  <c:v>0.12959999999999999</c:v>
                </c:pt>
                <c:pt idx="10">
                  <c:v>0.2409</c:v>
                </c:pt>
                <c:pt idx="11">
                  <c:v>0.2432</c:v>
                </c:pt>
                <c:pt idx="12">
                  <c:v>0.25130000000000002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D12-D045-9DEB-13AC3FD2F102}"/>
            </c:ext>
          </c:extLst>
        </c:ser>
        <c:ser>
          <c:idx val="9"/>
          <c:order val="2"/>
          <c:tx>
            <c:strRef>
              <c:f>summary!$J$1</c:f>
              <c:strCache>
                <c:ptCount val="1"/>
                <c:pt idx="0">
                  <c:v>p_b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summary!$A$2:$A$14</c:f>
              <c:numCache>
                <c:formatCode>General</c:formatCode>
                <c:ptCount val="13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</c:numCache>
            </c:numRef>
          </c:cat>
          <c:val>
            <c:numRef>
              <c:f>summary!$J$2:$J$14</c:f>
              <c:numCache>
                <c:formatCode>General</c:formatCode>
                <c:ptCount val="13"/>
                <c:pt idx="0">
                  <c:v>0.22439999999999999</c:v>
                </c:pt>
                <c:pt idx="1">
                  <c:v>0.21299999999999999</c:v>
                </c:pt>
                <c:pt idx="2">
                  <c:v>0.2286</c:v>
                </c:pt>
                <c:pt idx="3">
                  <c:v>0.2041</c:v>
                </c:pt>
                <c:pt idx="4">
                  <c:v>0.20669999999999999</c:v>
                </c:pt>
                <c:pt idx="5">
                  <c:v>0.20799999999999999</c:v>
                </c:pt>
                <c:pt idx="6">
                  <c:v>0.2019</c:v>
                </c:pt>
                <c:pt idx="7">
                  <c:v>0.1986</c:v>
                </c:pt>
                <c:pt idx="8">
                  <c:v>0.2079</c:v>
                </c:pt>
                <c:pt idx="9">
                  <c:v>0.23960000000000001</c:v>
                </c:pt>
                <c:pt idx="10">
                  <c:v>0.2409</c:v>
                </c:pt>
                <c:pt idx="11">
                  <c:v>0.2432</c:v>
                </c:pt>
                <c:pt idx="12">
                  <c:v>0.25130000000000002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D12-D045-9DEB-13AC3FD2F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4831696"/>
        <c:axId val="2104196656"/>
      </c:lineChart>
      <c:catAx>
        <c:axId val="157483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104196656"/>
        <c:crosses val="autoZero"/>
        <c:auto val="1"/>
        <c:lblAlgn val="ctr"/>
        <c:lblOffset val="100"/>
        <c:noMultiLvlLbl val="0"/>
      </c:catAx>
      <c:valAx>
        <c:axId val="210419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57483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644287</xdr:colOff>
      <xdr:row>14</xdr:row>
      <xdr:rowOff>140254</xdr:rowOff>
    </xdr:from>
    <xdr:to>
      <xdr:col>12</xdr:col>
      <xdr:colOff>336486</xdr:colOff>
      <xdr:row>31</xdr:row>
      <xdr:rowOff>47009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0736C97-9D7D-C548-BCF6-35C51BFE7C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252415</xdr:colOff>
      <xdr:row>15</xdr:row>
      <xdr:rowOff>18816</xdr:rowOff>
    </xdr:from>
    <xdr:to>
      <xdr:col>5</xdr:col>
      <xdr:colOff>536222</xdr:colOff>
      <xdr:row>29</xdr:row>
      <xdr:rowOff>141112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C8FBA450-D6FA-7C4C-B4C9-B18876DCE4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A38C9-0AFE-4A4C-89E9-E999933687CE}">
  <dimension ref="A1:H65"/>
  <sheetViews>
    <sheetView zoomScale="170" workbookViewId="0">
      <selection activeCell="B4" sqref="B4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5" width="19.83203125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43313.291666666664</v>
      </c>
      <c r="B2">
        <v>252</v>
      </c>
      <c r="C2" s="3">
        <v>6.7783333333333307E-2</v>
      </c>
      <c r="D2" s="2">
        <v>3.0908000000000002</v>
      </c>
      <c r="E2">
        <f>D2-C2</f>
        <v>3.0230166666666669</v>
      </c>
      <c r="F2" t="s">
        <v>6</v>
      </c>
      <c r="G2">
        <v>1E-4</v>
      </c>
      <c r="H2">
        <v>3.0908000000000002</v>
      </c>
    </row>
    <row r="3" spans="1:8" x14ac:dyDescent="0.2">
      <c r="A3" s="1">
        <v>43313.291666666664</v>
      </c>
      <c r="B3">
        <v>379</v>
      </c>
      <c r="C3" s="3">
        <v>0.22195000000000001</v>
      </c>
      <c r="D3" s="2">
        <v>1.36775</v>
      </c>
      <c r="E3">
        <f t="shared" ref="E3:E21" si="0">D3-C3</f>
        <v>1.1457999999999999</v>
      </c>
      <c r="F3" t="s">
        <v>6</v>
      </c>
      <c r="G3">
        <v>0.40489999999999998</v>
      </c>
      <c r="H3">
        <v>0.96284999999999998</v>
      </c>
    </row>
    <row r="4" spans="1:8" x14ac:dyDescent="0.2">
      <c r="A4" s="1">
        <v>43313.291666666664</v>
      </c>
      <c r="B4">
        <v>434</v>
      </c>
      <c r="C4" s="3">
        <v>0.41651666666666598</v>
      </c>
      <c r="D4" s="2">
        <v>0.424866666666666</v>
      </c>
      <c r="E4">
        <f t="shared" si="0"/>
        <v>8.3500000000000241E-3</v>
      </c>
      <c r="F4" t="s">
        <v>6</v>
      </c>
      <c r="G4">
        <v>1E-4</v>
      </c>
      <c r="H4">
        <v>0.424866666666666</v>
      </c>
    </row>
    <row r="5" spans="1:8" x14ac:dyDescent="0.2">
      <c r="A5" s="1">
        <v>43313.291666666664</v>
      </c>
      <c r="B5">
        <v>1718</v>
      </c>
      <c r="C5" s="3">
        <v>0.10085</v>
      </c>
      <c r="D5" s="2">
        <v>1.92028333333333</v>
      </c>
      <c r="E5">
        <f t="shared" si="0"/>
        <v>1.8194333333333299</v>
      </c>
      <c r="F5" t="s">
        <v>6</v>
      </c>
      <c r="G5">
        <v>1E-4</v>
      </c>
      <c r="H5">
        <v>1.92028333333333</v>
      </c>
    </row>
    <row r="6" spans="1:8" x14ac:dyDescent="0.2">
      <c r="A6" s="1">
        <v>43313.291666666664</v>
      </c>
      <c r="B6">
        <v>1792</v>
      </c>
      <c r="C6" s="3">
        <v>9.7699999999999995E-2</v>
      </c>
      <c r="D6" s="2">
        <v>5.0950499999999996</v>
      </c>
      <c r="E6">
        <f t="shared" si="0"/>
        <v>4.99735</v>
      </c>
      <c r="F6" t="s">
        <v>6</v>
      </c>
      <c r="G6">
        <v>1E-4</v>
      </c>
      <c r="H6">
        <v>5.0950499999999996</v>
      </c>
    </row>
    <row r="7" spans="1:8" x14ac:dyDescent="0.2">
      <c r="A7" s="1">
        <v>43313.291666666664</v>
      </c>
      <c r="B7">
        <v>2925</v>
      </c>
      <c r="C7" s="3">
        <v>0.20785000000000001</v>
      </c>
      <c r="D7" s="2">
        <v>1.48125</v>
      </c>
      <c r="E7">
        <f t="shared" si="0"/>
        <v>1.2733999999999999</v>
      </c>
      <c r="F7" t="s">
        <v>6</v>
      </c>
      <c r="G7">
        <v>1E-4</v>
      </c>
      <c r="H7">
        <v>1.48125</v>
      </c>
    </row>
    <row r="8" spans="1:8" x14ac:dyDescent="0.2">
      <c r="A8" s="1">
        <v>43313.291666666664</v>
      </c>
      <c r="B8">
        <v>3649</v>
      </c>
      <c r="C8" s="3">
        <v>0.14043333333333299</v>
      </c>
      <c r="D8" s="2">
        <v>1.0378666666666601</v>
      </c>
      <c r="E8">
        <f t="shared" si="0"/>
        <v>0.89743333333332709</v>
      </c>
      <c r="F8" t="s">
        <v>6</v>
      </c>
      <c r="G8">
        <v>0.01</v>
      </c>
      <c r="H8">
        <v>1.02786666666666</v>
      </c>
    </row>
    <row r="9" spans="1:8" x14ac:dyDescent="0.2">
      <c r="A9" s="1">
        <v>43313.291666666664</v>
      </c>
      <c r="B9">
        <v>4357</v>
      </c>
      <c r="C9" s="3">
        <v>5.4283333333333302E-2</v>
      </c>
      <c r="D9" s="2">
        <v>0.50416666666666599</v>
      </c>
      <c r="E9">
        <f t="shared" si="0"/>
        <v>0.44988333333333269</v>
      </c>
      <c r="F9" t="s">
        <v>6</v>
      </c>
      <c r="G9">
        <v>2.5000000000000001E-4</v>
      </c>
      <c r="H9">
        <v>0.50391666666666601</v>
      </c>
    </row>
    <row r="10" spans="1:8" x14ac:dyDescent="0.2">
      <c r="A10" s="1">
        <v>43313.291666666664</v>
      </c>
      <c r="B10">
        <v>4874</v>
      </c>
      <c r="C10" s="3">
        <v>0.18608333333333299</v>
      </c>
      <c r="D10" s="2">
        <v>1.7471000000000001</v>
      </c>
      <c r="E10">
        <f t="shared" si="0"/>
        <v>1.5610166666666672</v>
      </c>
      <c r="F10" t="s">
        <v>6</v>
      </c>
      <c r="G10">
        <v>0.81236666666666602</v>
      </c>
      <c r="H10">
        <v>0.93473333333333408</v>
      </c>
    </row>
    <row r="11" spans="1:8" x14ac:dyDescent="0.2">
      <c r="A11" s="1">
        <v>43313.291666666664</v>
      </c>
      <c r="B11">
        <v>5035</v>
      </c>
      <c r="C11" s="3">
        <v>1.43833333333333E-2</v>
      </c>
      <c r="D11" s="2">
        <v>1.27193333333333</v>
      </c>
      <c r="E11">
        <f t="shared" si="0"/>
        <v>1.2575499999999968</v>
      </c>
      <c r="F11" t="s">
        <v>6</v>
      </c>
      <c r="G11">
        <v>1E-4</v>
      </c>
      <c r="H11">
        <v>1.27193333333333</v>
      </c>
    </row>
    <row r="12" spans="1:8" x14ac:dyDescent="0.2">
      <c r="A12" s="1">
        <v>43313.291666666664</v>
      </c>
      <c r="B12">
        <v>93</v>
      </c>
      <c r="C12" s="3">
        <v>4.40166666666666E-2</v>
      </c>
      <c r="D12" s="2">
        <v>0.33948333333333303</v>
      </c>
      <c r="E12">
        <f t="shared" si="0"/>
        <v>0.29546666666666643</v>
      </c>
      <c r="F12" t="s">
        <v>7</v>
      </c>
      <c r="G12">
        <v>3.6666666666666602E-4</v>
      </c>
      <c r="H12">
        <v>0.33911666666666634</v>
      </c>
    </row>
    <row r="13" spans="1:8" x14ac:dyDescent="0.2">
      <c r="A13" s="1">
        <v>43313.291666666664</v>
      </c>
      <c r="B13">
        <v>171</v>
      </c>
      <c r="C13" s="3">
        <v>6.5883333333333294E-2</v>
      </c>
      <c r="D13" s="2">
        <v>0.86619999999999997</v>
      </c>
      <c r="E13">
        <f t="shared" si="0"/>
        <v>0.80031666666666668</v>
      </c>
      <c r="F13" t="s">
        <v>7</v>
      </c>
      <c r="G13">
        <v>1E-4</v>
      </c>
      <c r="H13">
        <v>0.86619999999999997</v>
      </c>
    </row>
    <row r="14" spans="1:8" x14ac:dyDescent="0.2">
      <c r="A14" s="1">
        <v>43313.291666666664</v>
      </c>
      <c r="B14">
        <v>668</v>
      </c>
      <c r="C14" s="3">
        <v>7.7716666666666601E-2</v>
      </c>
      <c r="D14" s="2">
        <v>1.50931666666666</v>
      </c>
      <c r="E14">
        <f t="shared" si="0"/>
        <v>1.4315999999999933</v>
      </c>
      <c r="F14" t="s">
        <v>7</v>
      </c>
      <c r="G14">
        <v>0.50809999999999966</v>
      </c>
      <c r="H14">
        <v>1.0012166666666604</v>
      </c>
    </row>
    <row r="15" spans="1:8" x14ac:dyDescent="0.2">
      <c r="A15" s="1">
        <v>43313.291666666664</v>
      </c>
      <c r="B15">
        <v>781</v>
      </c>
      <c r="C15" s="3">
        <v>0.100583333333333</v>
      </c>
      <c r="D15" s="2">
        <v>0.78118333333333301</v>
      </c>
      <c r="E15">
        <f t="shared" si="0"/>
        <v>0.68059999999999998</v>
      </c>
      <c r="F15" t="s">
        <v>7</v>
      </c>
      <c r="G15">
        <v>0.37814999999999999</v>
      </c>
      <c r="H15">
        <v>0.40303333333333302</v>
      </c>
    </row>
    <row r="16" spans="1:8" x14ac:dyDescent="0.2">
      <c r="A16" s="1">
        <v>43313.291666666664</v>
      </c>
      <c r="B16">
        <v>974</v>
      </c>
      <c r="C16" s="3">
        <v>9.6600000000000005E-2</v>
      </c>
      <c r="D16" s="2">
        <v>0.99006666666666598</v>
      </c>
      <c r="E16">
        <f t="shared" si="0"/>
        <v>0.89346666666666597</v>
      </c>
      <c r="F16" t="s">
        <v>7</v>
      </c>
      <c r="G16">
        <v>0.31324999999999997</v>
      </c>
      <c r="H16">
        <v>0.67681666666666596</v>
      </c>
    </row>
    <row r="17" spans="1:8" x14ac:dyDescent="0.2">
      <c r="A17" s="1">
        <v>43313.291666666664</v>
      </c>
      <c r="B17">
        <v>1192</v>
      </c>
      <c r="C17" s="3">
        <v>0.107383333333333</v>
      </c>
      <c r="D17" s="2">
        <v>0.85894999999999999</v>
      </c>
      <c r="E17">
        <f t="shared" si="0"/>
        <v>0.75156666666666694</v>
      </c>
      <c r="F17" t="s">
        <v>7</v>
      </c>
      <c r="G17">
        <v>0.43779999999999969</v>
      </c>
      <c r="H17">
        <v>0.4211500000000003</v>
      </c>
    </row>
    <row r="18" spans="1:8" x14ac:dyDescent="0.2">
      <c r="A18" s="1">
        <v>43313.291666666664</v>
      </c>
      <c r="B18">
        <v>1354</v>
      </c>
      <c r="C18" s="3">
        <v>0.11761666666666599</v>
      </c>
      <c r="D18" s="2">
        <v>1.4136500000000001</v>
      </c>
      <c r="E18">
        <f t="shared" si="0"/>
        <v>1.296033333333334</v>
      </c>
      <c r="F18" t="s">
        <v>7</v>
      </c>
      <c r="G18">
        <v>0.71760000000000002</v>
      </c>
      <c r="H18">
        <v>0.69605000000000006</v>
      </c>
    </row>
    <row r="19" spans="1:8" x14ac:dyDescent="0.2">
      <c r="A19" s="1">
        <v>43313.291666666664</v>
      </c>
      <c r="B19">
        <v>1714</v>
      </c>
      <c r="C19" s="3">
        <v>0.183216666666666</v>
      </c>
      <c r="D19" s="2">
        <v>0.78906666666666603</v>
      </c>
      <c r="E19">
        <f t="shared" si="0"/>
        <v>0.60585</v>
      </c>
      <c r="F19" t="s">
        <v>7</v>
      </c>
      <c r="G19">
        <v>2.32333333333333E-2</v>
      </c>
      <c r="H19">
        <v>0.7658333333333327</v>
      </c>
    </row>
    <row r="20" spans="1:8" x14ac:dyDescent="0.2">
      <c r="A20" s="1">
        <v>43313.291666666664</v>
      </c>
      <c r="B20">
        <v>1800</v>
      </c>
      <c r="C20" s="3">
        <v>7.5766666666666593E-2</v>
      </c>
      <c r="D20" s="2">
        <v>0.65654999999999997</v>
      </c>
      <c r="E20">
        <f t="shared" si="0"/>
        <v>0.58078333333333343</v>
      </c>
      <c r="F20" t="s">
        <v>7</v>
      </c>
      <c r="G20">
        <v>1E-4</v>
      </c>
      <c r="H20">
        <v>0.65654999999999997</v>
      </c>
    </row>
    <row r="21" spans="1:8" x14ac:dyDescent="0.2">
      <c r="A21" s="1">
        <v>43313.291666666664</v>
      </c>
      <c r="B21">
        <v>2129</v>
      </c>
      <c r="C21" s="3">
        <v>8.0466666666666603E-2</v>
      </c>
      <c r="D21" s="2">
        <v>1.2217499999999999</v>
      </c>
      <c r="E21">
        <f t="shared" si="0"/>
        <v>1.1412833333333332</v>
      </c>
      <c r="F21" t="s">
        <v>7</v>
      </c>
      <c r="G21">
        <v>0.35663333333333302</v>
      </c>
      <c r="H21">
        <v>0.86511666666666687</v>
      </c>
    </row>
    <row r="22" spans="1:8" x14ac:dyDescent="0.2">
      <c r="A22" s="1">
        <v>43313.291666666664</v>
      </c>
      <c r="B22">
        <v>59</v>
      </c>
      <c r="C22" s="3">
        <v>0</v>
      </c>
      <c r="D22" s="2">
        <v>1.8084</v>
      </c>
      <c r="E22">
        <f t="shared" ref="E22:E64" si="1">D22-C22</f>
        <v>1.8084</v>
      </c>
      <c r="F22" t="s">
        <v>8</v>
      </c>
      <c r="G22">
        <v>0.45001666666666601</v>
      </c>
      <c r="H22">
        <v>1.3583833333333339</v>
      </c>
    </row>
    <row r="23" spans="1:8" x14ac:dyDescent="0.2">
      <c r="A23" s="1">
        <v>43313.291666666664</v>
      </c>
      <c r="B23">
        <v>86</v>
      </c>
      <c r="C23" s="3">
        <v>0</v>
      </c>
      <c r="D23" s="2">
        <v>1.5734666666666599</v>
      </c>
      <c r="E23">
        <f t="shared" si="1"/>
        <v>1.5734666666666599</v>
      </c>
      <c r="F23" t="s">
        <v>8</v>
      </c>
      <c r="G23">
        <v>2.0500000000000002E-3</v>
      </c>
      <c r="H23">
        <v>1.5714166666666598</v>
      </c>
    </row>
    <row r="24" spans="1:8" x14ac:dyDescent="0.2">
      <c r="A24" s="1">
        <v>43313.291666666664</v>
      </c>
      <c r="B24">
        <v>94</v>
      </c>
      <c r="C24" s="3">
        <v>0</v>
      </c>
      <c r="D24" s="2">
        <v>0.60296666666666598</v>
      </c>
      <c r="E24">
        <f t="shared" si="1"/>
        <v>0.60296666666666598</v>
      </c>
      <c r="F24" t="s">
        <v>8</v>
      </c>
      <c r="G24">
        <v>0.19116666666666601</v>
      </c>
      <c r="H24">
        <v>0.41179999999999994</v>
      </c>
    </row>
    <row r="25" spans="1:8" x14ac:dyDescent="0.2">
      <c r="A25" s="1">
        <v>43313.291666666664</v>
      </c>
      <c r="B25">
        <v>115</v>
      </c>
      <c r="C25" s="3">
        <v>0</v>
      </c>
      <c r="D25" s="2">
        <v>0.49390000000000001</v>
      </c>
      <c r="E25">
        <f t="shared" si="1"/>
        <v>0.49390000000000001</v>
      </c>
      <c r="F25" t="s">
        <v>8</v>
      </c>
      <c r="G25">
        <v>0.26278333333333298</v>
      </c>
      <c r="H25">
        <v>0.23111666666666703</v>
      </c>
    </row>
    <row r="26" spans="1:8" x14ac:dyDescent="0.2">
      <c r="A26" s="1">
        <v>43313.291666666664</v>
      </c>
      <c r="B26">
        <v>503</v>
      </c>
      <c r="C26" s="3">
        <v>0</v>
      </c>
      <c r="D26" s="2">
        <v>0.89683333333333304</v>
      </c>
      <c r="E26">
        <f t="shared" si="1"/>
        <v>0.89683333333333304</v>
      </c>
      <c r="F26" t="s">
        <v>8</v>
      </c>
      <c r="G26">
        <v>0.34846666666666631</v>
      </c>
      <c r="H26">
        <v>0.54836666666666667</v>
      </c>
    </row>
    <row r="27" spans="1:8" x14ac:dyDescent="0.2">
      <c r="A27" s="1">
        <v>43313.291666666664</v>
      </c>
      <c r="B27">
        <v>621</v>
      </c>
      <c r="C27" s="3">
        <v>0</v>
      </c>
      <c r="D27" s="2">
        <v>0.24528333333333299</v>
      </c>
      <c r="E27">
        <f t="shared" si="1"/>
        <v>0.24528333333333299</v>
      </c>
      <c r="F27" t="s">
        <v>8</v>
      </c>
      <c r="G27">
        <v>1E-4</v>
      </c>
      <c r="H27">
        <v>0.24528333333333299</v>
      </c>
    </row>
    <row r="28" spans="1:8" x14ac:dyDescent="0.2">
      <c r="A28" s="1">
        <v>43313.291666666664</v>
      </c>
      <c r="B28">
        <v>871</v>
      </c>
      <c r="C28" s="3">
        <v>0</v>
      </c>
      <c r="D28" s="2">
        <v>1.38245</v>
      </c>
      <c r="E28">
        <f t="shared" si="1"/>
        <v>1.38245</v>
      </c>
      <c r="F28" t="s">
        <v>8</v>
      </c>
      <c r="G28">
        <v>0.18315000000000001</v>
      </c>
      <c r="H28">
        <v>1.1993</v>
      </c>
    </row>
    <row r="29" spans="1:8" x14ac:dyDescent="0.2">
      <c r="A29" s="1">
        <v>43313.291666666664</v>
      </c>
      <c r="B29">
        <v>930</v>
      </c>
      <c r="C29" s="3">
        <v>0</v>
      </c>
      <c r="D29" s="2">
        <v>2.8016000000000001</v>
      </c>
      <c r="E29">
        <f t="shared" si="1"/>
        <v>2.8016000000000001</v>
      </c>
      <c r="F29" t="s">
        <v>8</v>
      </c>
      <c r="G29">
        <v>0.536316666666666</v>
      </c>
      <c r="H29">
        <v>2.265283333333334</v>
      </c>
    </row>
    <row r="30" spans="1:8" x14ac:dyDescent="0.2">
      <c r="A30" s="1">
        <v>43313.291666666664</v>
      </c>
      <c r="B30">
        <v>946</v>
      </c>
      <c r="C30" s="3">
        <v>0</v>
      </c>
      <c r="D30" s="2">
        <v>0.22805</v>
      </c>
      <c r="E30">
        <f t="shared" si="1"/>
        <v>0.22805</v>
      </c>
      <c r="F30" t="s">
        <v>8</v>
      </c>
      <c r="G30">
        <v>1E-4</v>
      </c>
      <c r="H30">
        <v>0.22805</v>
      </c>
    </row>
    <row r="31" spans="1:8" x14ac:dyDescent="0.2">
      <c r="A31" s="1">
        <v>43313.291666666664</v>
      </c>
      <c r="B31">
        <v>994</v>
      </c>
      <c r="C31" s="3">
        <v>0</v>
      </c>
      <c r="D31" s="2">
        <v>0.34484999999999999</v>
      </c>
      <c r="E31">
        <f t="shared" si="1"/>
        <v>0.34484999999999999</v>
      </c>
      <c r="F31" t="s">
        <v>8</v>
      </c>
      <c r="G31">
        <v>5.0000000000000001E-3</v>
      </c>
      <c r="H31">
        <v>0.33984999999999999</v>
      </c>
    </row>
    <row r="32" spans="1:8" x14ac:dyDescent="0.2">
      <c r="A32" s="1">
        <v>43313.291666666664</v>
      </c>
      <c r="B32">
        <v>1086</v>
      </c>
      <c r="C32" s="3">
        <v>0</v>
      </c>
      <c r="D32" s="2">
        <v>0.64195000000000002</v>
      </c>
      <c r="E32">
        <f t="shared" si="1"/>
        <v>0.64195000000000002</v>
      </c>
      <c r="F32" t="s">
        <v>8</v>
      </c>
      <c r="G32">
        <v>4.30833333333333E-2</v>
      </c>
      <c r="H32">
        <v>0.59886666666666677</v>
      </c>
    </row>
    <row r="33" spans="1:8" x14ac:dyDescent="0.2">
      <c r="A33" s="1">
        <v>43313.291666666664</v>
      </c>
      <c r="B33">
        <v>1202</v>
      </c>
      <c r="C33" s="3">
        <v>0</v>
      </c>
      <c r="D33" s="2">
        <v>0.81393333333333295</v>
      </c>
      <c r="E33">
        <f t="shared" si="1"/>
        <v>0.81393333333333295</v>
      </c>
      <c r="F33" t="s">
        <v>8</v>
      </c>
      <c r="G33">
        <v>5.0000000000000001E-3</v>
      </c>
      <c r="H33">
        <v>0.80893333333333295</v>
      </c>
    </row>
    <row r="34" spans="1:8" x14ac:dyDescent="0.2">
      <c r="A34" s="1">
        <v>43313.291666666664</v>
      </c>
      <c r="B34">
        <v>1334</v>
      </c>
      <c r="C34" s="3">
        <v>0</v>
      </c>
      <c r="D34" s="2">
        <v>1.0358333333333301</v>
      </c>
      <c r="E34">
        <f t="shared" si="1"/>
        <v>1.0358333333333301</v>
      </c>
      <c r="F34" t="s">
        <v>8</v>
      </c>
      <c r="G34">
        <v>0.462683333333333</v>
      </c>
      <c r="H34">
        <v>0.57314999999999705</v>
      </c>
    </row>
    <row r="35" spans="1:8" x14ac:dyDescent="0.2">
      <c r="A35" s="1">
        <v>43313.291666666664</v>
      </c>
      <c r="B35">
        <v>1500</v>
      </c>
      <c r="C35" s="3">
        <v>0</v>
      </c>
      <c r="D35" s="2">
        <v>0.807466666666666</v>
      </c>
      <c r="E35">
        <f t="shared" si="1"/>
        <v>0.807466666666666</v>
      </c>
      <c r="F35" t="s">
        <v>8</v>
      </c>
      <c r="G35">
        <v>0.24918333333333301</v>
      </c>
      <c r="H35">
        <v>0.55828333333333302</v>
      </c>
    </row>
    <row r="36" spans="1:8" x14ac:dyDescent="0.2">
      <c r="A36" s="1">
        <v>43313.291666666664</v>
      </c>
      <c r="B36">
        <v>1507</v>
      </c>
      <c r="C36" s="3">
        <v>0</v>
      </c>
      <c r="D36" s="2">
        <v>3.03243333333333</v>
      </c>
      <c r="E36">
        <f t="shared" si="1"/>
        <v>3.03243333333333</v>
      </c>
      <c r="F36" t="s">
        <v>8</v>
      </c>
      <c r="G36">
        <v>0.52718333333333334</v>
      </c>
      <c r="H36">
        <v>2.5052499999999966</v>
      </c>
    </row>
    <row r="37" spans="1:8" x14ac:dyDescent="0.2">
      <c r="A37" s="1">
        <v>43313.291666666664</v>
      </c>
      <c r="B37">
        <v>1796</v>
      </c>
      <c r="C37" s="3">
        <v>0</v>
      </c>
      <c r="D37" s="2">
        <v>8.1716666666666604E-2</v>
      </c>
      <c r="E37">
        <f t="shared" si="1"/>
        <v>8.1716666666666604E-2</v>
      </c>
      <c r="F37" t="s">
        <v>8</v>
      </c>
      <c r="G37">
        <v>1E-4</v>
      </c>
      <c r="H37">
        <v>8.1716666666666604E-2</v>
      </c>
    </row>
    <row r="38" spans="1:8" x14ac:dyDescent="0.2">
      <c r="A38" s="1">
        <v>43313.291666666664</v>
      </c>
      <c r="B38">
        <v>2004</v>
      </c>
      <c r="C38" s="3">
        <v>0</v>
      </c>
      <c r="D38" s="2">
        <v>1.54548333333333</v>
      </c>
      <c r="E38">
        <f t="shared" si="1"/>
        <v>1.54548333333333</v>
      </c>
      <c r="F38" t="s">
        <v>8</v>
      </c>
      <c r="G38">
        <v>0.27366666666666667</v>
      </c>
      <c r="H38">
        <v>1.2718166666666633</v>
      </c>
    </row>
    <row r="39" spans="1:8" x14ac:dyDescent="0.2">
      <c r="A39" s="1">
        <v>43313.291666666664</v>
      </c>
      <c r="B39">
        <v>2034</v>
      </c>
      <c r="C39" s="3">
        <v>0</v>
      </c>
      <c r="D39" s="2">
        <v>0.98503333333333298</v>
      </c>
      <c r="E39">
        <f t="shared" si="1"/>
        <v>0.98503333333333298</v>
      </c>
      <c r="F39" t="s">
        <v>8</v>
      </c>
      <c r="G39">
        <v>0.40855000000000002</v>
      </c>
      <c r="H39">
        <v>0.57648333333333301</v>
      </c>
    </row>
    <row r="40" spans="1:8" x14ac:dyDescent="0.2">
      <c r="A40" s="1">
        <v>43313.291666666664</v>
      </c>
      <c r="B40">
        <v>2158</v>
      </c>
      <c r="C40" s="3">
        <v>0</v>
      </c>
      <c r="D40" s="2">
        <v>0.85898333333333299</v>
      </c>
      <c r="E40">
        <f t="shared" si="1"/>
        <v>0.85898333333333299</v>
      </c>
      <c r="F40" t="s">
        <v>8</v>
      </c>
      <c r="G40">
        <v>1E-4</v>
      </c>
      <c r="H40">
        <v>0.85898333333333299</v>
      </c>
    </row>
    <row r="41" spans="1:8" x14ac:dyDescent="0.2">
      <c r="A41" s="1">
        <v>43313.291666666664</v>
      </c>
      <c r="B41">
        <v>2378</v>
      </c>
      <c r="C41" s="3">
        <v>0</v>
      </c>
      <c r="D41" s="2">
        <v>1.2804833333333301</v>
      </c>
      <c r="E41">
        <f t="shared" si="1"/>
        <v>1.2804833333333301</v>
      </c>
      <c r="F41" t="s">
        <v>8</v>
      </c>
      <c r="G41">
        <v>1.065E-2</v>
      </c>
      <c r="H41">
        <v>1.26983333333333</v>
      </c>
    </row>
    <row r="42" spans="1:8" x14ac:dyDescent="0.2">
      <c r="A42" s="1">
        <v>43313.291666666664</v>
      </c>
      <c r="B42">
        <v>2472</v>
      </c>
      <c r="C42" s="3">
        <v>0</v>
      </c>
      <c r="D42" s="2">
        <v>0.50134999999999996</v>
      </c>
      <c r="E42">
        <f t="shared" si="1"/>
        <v>0.50134999999999996</v>
      </c>
      <c r="F42" t="s">
        <v>8</v>
      </c>
      <c r="G42">
        <v>1E-4</v>
      </c>
      <c r="H42">
        <v>0.50134999999999996</v>
      </c>
    </row>
    <row r="43" spans="1:8" x14ac:dyDescent="0.2">
      <c r="A43" s="1">
        <v>43313.291666666664</v>
      </c>
      <c r="B43">
        <v>2859</v>
      </c>
      <c r="C43" s="3">
        <v>0</v>
      </c>
      <c r="D43" s="2">
        <v>0.29558333333333298</v>
      </c>
      <c r="E43">
        <f t="shared" si="1"/>
        <v>0.29558333333333298</v>
      </c>
      <c r="F43" t="s">
        <v>8</v>
      </c>
      <c r="G43">
        <v>9.5166666666666594E-2</v>
      </c>
      <c r="H43">
        <v>0.20041666666666638</v>
      </c>
    </row>
    <row r="44" spans="1:8" x14ac:dyDescent="0.2">
      <c r="A44" s="1">
        <v>43313.291666666664</v>
      </c>
      <c r="B44">
        <v>2953</v>
      </c>
      <c r="C44" s="3">
        <v>0</v>
      </c>
      <c r="D44" s="2">
        <v>0.65596666666666603</v>
      </c>
      <c r="E44">
        <f t="shared" si="1"/>
        <v>0.65596666666666603</v>
      </c>
      <c r="F44" t="s">
        <v>8</v>
      </c>
      <c r="G44">
        <v>0.39765</v>
      </c>
      <c r="H44">
        <v>0.25831666666666603</v>
      </c>
    </row>
    <row r="45" spans="1:8" x14ac:dyDescent="0.2">
      <c r="A45" s="1">
        <v>43313.291666666664</v>
      </c>
      <c r="B45">
        <v>3273</v>
      </c>
      <c r="C45" s="3">
        <v>0</v>
      </c>
      <c r="D45" s="2">
        <v>0.682483333333333</v>
      </c>
      <c r="E45">
        <f t="shared" si="1"/>
        <v>0.682483333333333</v>
      </c>
      <c r="F45" t="s">
        <v>8</v>
      </c>
      <c r="G45">
        <v>0.45055000000000001</v>
      </c>
      <c r="H45">
        <v>0.23193333333333299</v>
      </c>
    </row>
    <row r="46" spans="1:8" x14ac:dyDescent="0.2">
      <c r="A46" s="1">
        <v>43313.291666666664</v>
      </c>
      <c r="B46">
        <v>3401</v>
      </c>
      <c r="C46" s="3">
        <v>0</v>
      </c>
      <c r="D46" s="2">
        <v>1.24911666666666</v>
      </c>
      <c r="E46">
        <f t="shared" si="1"/>
        <v>1.24911666666666</v>
      </c>
      <c r="F46" t="s">
        <v>8</v>
      </c>
      <c r="G46">
        <v>2.2066666666666599E-2</v>
      </c>
      <c r="H46">
        <v>1.2270499999999933</v>
      </c>
    </row>
    <row r="47" spans="1:8" x14ac:dyDescent="0.2">
      <c r="A47" s="1">
        <v>43313.291666666664</v>
      </c>
      <c r="B47">
        <v>3778</v>
      </c>
      <c r="C47" s="3">
        <v>0</v>
      </c>
      <c r="D47" s="2">
        <v>0.53278333333333305</v>
      </c>
      <c r="E47">
        <f t="shared" si="1"/>
        <v>0.53278333333333305</v>
      </c>
      <c r="F47" t="s">
        <v>8</v>
      </c>
      <c r="G47">
        <v>1E-4</v>
      </c>
      <c r="H47">
        <v>0.53278333333333305</v>
      </c>
    </row>
    <row r="48" spans="1:8" x14ac:dyDescent="0.2">
      <c r="A48" s="1">
        <v>43313.291666666664</v>
      </c>
      <c r="B48">
        <v>3831</v>
      </c>
      <c r="C48" s="3">
        <v>0</v>
      </c>
      <c r="D48" s="2">
        <v>0.70908333333333295</v>
      </c>
      <c r="E48">
        <f t="shared" si="1"/>
        <v>0.70908333333333295</v>
      </c>
      <c r="F48" t="s">
        <v>8</v>
      </c>
      <c r="G48">
        <v>0.305416666666666</v>
      </c>
      <c r="H48">
        <v>0.40366666666666695</v>
      </c>
    </row>
    <row r="49" spans="1:8" x14ac:dyDescent="0.2">
      <c r="A49" s="1">
        <v>43313.291666666664</v>
      </c>
      <c r="B49">
        <v>3893</v>
      </c>
      <c r="C49" s="3">
        <v>0</v>
      </c>
      <c r="D49" s="2">
        <v>1.6092500000000001</v>
      </c>
      <c r="E49">
        <f t="shared" si="1"/>
        <v>1.6092500000000001</v>
      </c>
      <c r="F49" t="s">
        <v>8</v>
      </c>
      <c r="G49">
        <v>0.52344999999999975</v>
      </c>
      <c r="H49">
        <v>1.0858000000000003</v>
      </c>
    </row>
    <row r="50" spans="1:8" x14ac:dyDescent="0.2">
      <c r="A50" s="1">
        <v>43313.291666666664</v>
      </c>
      <c r="B50">
        <v>4213</v>
      </c>
      <c r="C50" s="3">
        <v>0</v>
      </c>
      <c r="D50" s="2">
        <v>0.83835000000000004</v>
      </c>
      <c r="E50">
        <f t="shared" si="1"/>
        <v>0.83835000000000004</v>
      </c>
      <c r="F50" t="s">
        <v>8</v>
      </c>
      <c r="G50">
        <v>4.3E-3</v>
      </c>
      <c r="H50">
        <v>0.83405000000000007</v>
      </c>
    </row>
    <row r="51" spans="1:8" x14ac:dyDescent="0.2">
      <c r="A51" s="1">
        <v>43313.291666666664</v>
      </c>
      <c r="B51">
        <v>4298</v>
      </c>
      <c r="C51" s="3">
        <v>0</v>
      </c>
      <c r="D51" s="2">
        <v>0.45583333333333298</v>
      </c>
      <c r="E51">
        <f t="shared" si="1"/>
        <v>0.45583333333333298</v>
      </c>
      <c r="F51" t="s">
        <v>8</v>
      </c>
      <c r="G51">
        <v>1E-4</v>
      </c>
      <c r="H51">
        <v>0.45583333333333298</v>
      </c>
    </row>
    <row r="52" spans="1:8" x14ac:dyDescent="0.2">
      <c r="A52" s="1">
        <v>43313.291666666664</v>
      </c>
      <c r="B52">
        <v>370</v>
      </c>
      <c r="C52" t="e">
        <f t="array" ref="C52">VLOOKUP(A52&amp;B52,IF({1,0},#REF!&amp;#REF!,#REF!),2,FALSE)</f>
        <v>#N/A</v>
      </c>
      <c r="D52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0.24018333333333267</v>
      </c>
      <c r="H52">
        <v>0.50706666666666733</v>
      </c>
    </row>
    <row r="53" spans="1:8" x14ac:dyDescent="0.2">
      <c r="A53" s="1">
        <v>43313.291666666664</v>
      </c>
      <c r="B53">
        <v>2638</v>
      </c>
      <c r="C53" t="e">
        <f t="array" ref="C53">VLOOKUP(A53&amp;B53,IF({1,0},#REF!&amp;#REF!,#REF!),2,FALSE)</f>
        <v>#N/A</v>
      </c>
      <c r="D5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0.6411</v>
      </c>
      <c r="H53">
        <v>1.2012833333333299</v>
      </c>
    </row>
    <row r="54" spans="1:8" x14ac:dyDescent="0.2">
      <c r="A54" s="1">
        <v>43313.291666666664</v>
      </c>
      <c r="B54">
        <v>3482</v>
      </c>
      <c r="C54" t="e">
        <f t="array" ref="C54">VLOOKUP(A54&amp;B54,IF({1,0},#REF!&amp;#REF!,#REF!),2,FALSE)</f>
        <v>#N/A</v>
      </c>
      <c r="D54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0.11295000000000001</v>
      </c>
      <c r="H54">
        <v>0.21491666666666598</v>
      </c>
    </row>
    <row r="55" spans="1:8" x14ac:dyDescent="0.2">
      <c r="A55" s="1">
        <v>43313.291666666664</v>
      </c>
      <c r="B55">
        <v>3723</v>
      </c>
      <c r="C55" t="e">
        <f t="array" ref="C55">VLOOKUP(A55&amp;B55,IF({1,0},#REF!&amp;#REF!,#REF!),2,FALSE)</f>
        <v>#N/A</v>
      </c>
      <c r="D55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0.49836666666666601</v>
      </c>
      <c r="H55">
        <v>0.61021666666666396</v>
      </c>
    </row>
    <row r="56" spans="1:8" x14ac:dyDescent="0.2">
      <c r="A56" s="1">
        <v>43313.291666666664</v>
      </c>
      <c r="B56">
        <v>3967</v>
      </c>
      <c r="C56" t="e">
        <f t="array" ref="C56">VLOOKUP(A56&amp;B56,IF({1,0},#REF!&amp;#REF!,#REF!),2,FALSE)</f>
        <v>#N/A</v>
      </c>
      <c r="D56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0.43706666666666599</v>
      </c>
      <c r="H56">
        <v>0.82581666666666398</v>
      </c>
    </row>
    <row r="57" spans="1:8" x14ac:dyDescent="0.2">
      <c r="A57" s="1">
        <v>43313.291666666664</v>
      </c>
      <c r="B57">
        <v>4998</v>
      </c>
      <c r="C57" t="e">
        <f t="array" ref="C57">VLOOKUP(A57&amp;B57,IF({1,0},#REF!&amp;#REF!,#REF!),2,FALSE)</f>
        <v>#N/A</v>
      </c>
      <c r="D57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0.51485000000000003</v>
      </c>
      <c r="H57">
        <v>0.76371666666665994</v>
      </c>
    </row>
    <row r="58" spans="1:8" x14ac:dyDescent="0.2">
      <c r="A58" s="1">
        <v>43313.291666666664</v>
      </c>
      <c r="B58">
        <v>5749</v>
      </c>
      <c r="C58" t="e">
        <f t="array" ref="C58">VLOOKUP(A58&amp;B58,IF({1,0},#REF!&amp;#REF!,#REF!),2,FALSE)</f>
        <v>#N/A</v>
      </c>
      <c r="D58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1.2666666666666659E-3</v>
      </c>
      <c r="H58">
        <v>0.86923333333333341</v>
      </c>
    </row>
    <row r="59" spans="1:8" x14ac:dyDescent="0.2">
      <c r="A59" s="1">
        <v>43313.291666666664</v>
      </c>
      <c r="B59">
        <v>6248</v>
      </c>
      <c r="C59" t="e">
        <f t="array" ref="C59">VLOOKUP(A59&amp;B59,IF({1,0},#REF!&amp;#REF!,#REF!),2,FALSE)</f>
        <v>#N/A</v>
      </c>
      <c r="D59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2.1666666666666601E-4</v>
      </c>
      <c r="H59">
        <v>1.0782333333333332</v>
      </c>
    </row>
    <row r="60" spans="1:8" x14ac:dyDescent="0.2">
      <c r="A60" s="1">
        <v>43313.291666666664</v>
      </c>
      <c r="B60">
        <v>6691</v>
      </c>
      <c r="C60" t="e">
        <f t="array" ref="C60">VLOOKUP(A60&amp;B60,IF({1,0},#REF!&amp;#REF!,#REF!),2,FALSE)</f>
        <v>#N/A</v>
      </c>
      <c r="D60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1.9016666666666598E-2</v>
      </c>
      <c r="H60">
        <v>0.65194999999999947</v>
      </c>
    </row>
    <row r="61" spans="1:8" x14ac:dyDescent="0.2">
      <c r="A61" s="1">
        <v>43313.291666666664</v>
      </c>
      <c r="B61">
        <v>7024</v>
      </c>
      <c r="C61" t="e">
        <f t="array" ref="C61">VLOOKUP(A61&amp;B61,IF({1,0},#REF!&amp;#REF!,#REF!),2,FALSE)</f>
        <v>#N/A</v>
      </c>
      <c r="D61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1.27063333333333</v>
      </c>
      <c r="H61">
        <v>0.78664999999999985</v>
      </c>
    </row>
    <row r="62" spans="1:8" x14ac:dyDescent="0.2">
      <c r="A62" s="1">
        <v>43313.291666666664</v>
      </c>
      <c r="B62">
        <v>7875</v>
      </c>
      <c r="C62" t="e">
        <f t="array" ref="C62">VLOOKUP(A62&amp;B62,IF({1,0},#REF!&amp;#REF!,#REF!),2,FALSE)</f>
        <v>#N/A</v>
      </c>
      <c r="D62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0.229883333333333</v>
      </c>
      <c r="H62">
        <v>0.26596666666666702</v>
      </c>
    </row>
    <row r="63" spans="1:8" x14ac:dyDescent="0.2">
      <c r="A63" s="1">
        <v>43313.291666666664</v>
      </c>
      <c r="B63">
        <v>8236</v>
      </c>
      <c r="C63" t="e">
        <f t="array" ref="C63">VLOOKUP(A63&amp;B63,IF({1,0},#REF!&amp;#REF!,#REF!),2,FALSE)</f>
        <v>#N/A</v>
      </c>
      <c r="D6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0.32726666666666665</v>
      </c>
      <c r="H63">
        <v>0.61783333333333346</v>
      </c>
    </row>
    <row r="64" spans="1:8" x14ac:dyDescent="0.2">
      <c r="A64" s="1">
        <v>43313.291666666664</v>
      </c>
      <c r="B64">
        <v>8645</v>
      </c>
      <c r="C64" t="e">
        <f t="array" ref="C64">VLOOKUP(A64&amp;B64,IF({1,0},#REF!&amp;#REF!,#REF!),2,FALSE)</f>
        <v>#N/A</v>
      </c>
      <c r="D64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0.115916666666666</v>
      </c>
      <c r="H64">
        <v>0.12333333333333399</v>
      </c>
    </row>
    <row r="65" spans="1:1" x14ac:dyDescent="0.2">
      <c r="A65" s="1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143F8-0AC8-9140-A74E-7BD88BA3BACC}">
  <dimension ref="A1:H17111"/>
  <sheetViews>
    <sheetView topLeftCell="B1" zoomScale="173" zoomScaleNormal="173" workbookViewId="0">
      <selection activeCell="A2" sqref="A2:XFD2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43313.333333333336</v>
      </c>
      <c r="B2">
        <v>252</v>
      </c>
      <c r="C2" s="3">
        <v>0.3574</v>
      </c>
      <c r="D2" s="2">
        <v>3.1406833333333299</v>
      </c>
      <c r="E2" s="4">
        <f>D2-C2</f>
        <v>2.7832833333333298</v>
      </c>
      <c r="F2" t="s">
        <v>6</v>
      </c>
      <c r="G2">
        <v>1E-4</v>
      </c>
      <c r="H2">
        <v>3.1406833333333299</v>
      </c>
    </row>
    <row r="3" spans="1:8" x14ac:dyDescent="0.2">
      <c r="A3" s="1">
        <v>43313.333333333336</v>
      </c>
      <c r="B3">
        <v>379</v>
      </c>
      <c r="C3" s="3">
        <v>1.19058333333333</v>
      </c>
      <c r="D3" s="2">
        <v>1.81548333333333</v>
      </c>
      <c r="E3" s="4">
        <f t="shared" ref="E3:E21" si="0">D3-C3</f>
        <v>0.62490000000000001</v>
      </c>
      <c r="F3" t="s">
        <v>6</v>
      </c>
      <c r="G3">
        <v>0.82408333333333261</v>
      </c>
      <c r="H3">
        <v>0.99139999999999739</v>
      </c>
    </row>
    <row r="4" spans="1:8" x14ac:dyDescent="0.2">
      <c r="A4" s="1">
        <v>43313.333333333336</v>
      </c>
      <c r="B4">
        <v>434</v>
      </c>
      <c r="C4" s="3">
        <v>1.9630666666666601</v>
      </c>
      <c r="D4" s="2">
        <v>0.51</v>
      </c>
      <c r="E4" s="4">
        <f t="shared" si="0"/>
        <v>-1.4530666666666601</v>
      </c>
      <c r="F4" t="s">
        <v>6</v>
      </c>
      <c r="G4">
        <v>1E-4</v>
      </c>
      <c r="H4">
        <v>0.51</v>
      </c>
    </row>
    <row r="5" spans="1:8" x14ac:dyDescent="0.2">
      <c r="A5" s="1">
        <v>43313.333333333336</v>
      </c>
      <c r="B5">
        <v>1718</v>
      </c>
      <c r="C5" s="3">
        <v>0.45171666666666599</v>
      </c>
      <c r="D5" s="2">
        <v>2.1174333333333299</v>
      </c>
      <c r="E5" s="4">
        <f t="shared" si="0"/>
        <v>1.6657166666666638</v>
      </c>
      <c r="F5" t="s">
        <v>6</v>
      </c>
      <c r="G5">
        <v>1E-4</v>
      </c>
      <c r="H5">
        <v>2.1174333333333299</v>
      </c>
    </row>
    <row r="6" spans="1:8" x14ac:dyDescent="0.2">
      <c r="A6" s="1">
        <v>43313.333333333336</v>
      </c>
      <c r="B6">
        <v>1792</v>
      </c>
      <c r="C6" s="3">
        <v>0.40815000000000001</v>
      </c>
      <c r="D6" s="2">
        <v>4.7733666666666599</v>
      </c>
      <c r="E6" s="4">
        <f t="shared" si="0"/>
        <v>4.3652166666666599</v>
      </c>
      <c r="F6" t="s">
        <v>6</v>
      </c>
      <c r="G6">
        <v>1E-4</v>
      </c>
      <c r="H6">
        <v>4.7733666666666599</v>
      </c>
    </row>
    <row r="7" spans="1:8" x14ac:dyDescent="0.2">
      <c r="A7" s="1">
        <v>43313.333333333336</v>
      </c>
      <c r="B7">
        <v>2925</v>
      </c>
      <c r="C7" s="3">
        <v>0.73291666666666599</v>
      </c>
      <c r="D7" s="2">
        <v>2.2825500000000001</v>
      </c>
      <c r="E7" s="4">
        <f t="shared" si="0"/>
        <v>1.5496333333333341</v>
      </c>
      <c r="F7" t="s">
        <v>6</v>
      </c>
      <c r="G7">
        <v>1E-4</v>
      </c>
      <c r="H7">
        <v>2.2825500000000001</v>
      </c>
    </row>
    <row r="8" spans="1:8" x14ac:dyDescent="0.2">
      <c r="A8" s="1">
        <v>43313.333333333336</v>
      </c>
      <c r="B8">
        <v>3649</v>
      </c>
      <c r="C8" s="3">
        <v>0.94616666666666605</v>
      </c>
      <c r="D8" s="2">
        <v>1.3204499999999999</v>
      </c>
      <c r="E8" s="4">
        <f t="shared" si="0"/>
        <v>0.37428333333333386</v>
      </c>
      <c r="F8" t="s">
        <v>6</v>
      </c>
      <c r="G8">
        <v>1.01166666666666E-2</v>
      </c>
      <c r="H8">
        <v>1.3103333333333333</v>
      </c>
    </row>
    <row r="9" spans="1:8" x14ac:dyDescent="0.2">
      <c r="A9" s="1">
        <v>43313.333333333336</v>
      </c>
      <c r="B9">
        <v>4357</v>
      </c>
      <c r="C9" s="3">
        <v>0.36673333333333302</v>
      </c>
      <c r="D9" s="2">
        <v>0.35571666666666601</v>
      </c>
      <c r="E9" s="4">
        <f t="shared" si="0"/>
        <v>-1.1016666666667008E-2</v>
      </c>
      <c r="F9" t="s">
        <v>6</v>
      </c>
      <c r="G9">
        <v>1E-4</v>
      </c>
      <c r="H9">
        <v>0.35561666666666603</v>
      </c>
    </row>
    <row r="10" spans="1:8" x14ac:dyDescent="0.2">
      <c r="A10" s="1">
        <v>43313.333333333336</v>
      </c>
      <c r="B10">
        <v>4874</v>
      </c>
      <c r="C10" s="3">
        <v>0.63568333333333304</v>
      </c>
      <c r="D10" s="2">
        <v>1.31951666666666</v>
      </c>
      <c r="E10" s="4">
        <f t="shared" si="0"/>
        <v>0.68383333333332696</v>
      </c>
      <c r="F10" t="s">
        <v>6</v>
      </c>
      <c r="G10">
        <v>0.58491666666666597</v>
      </c>
      <c r="H10">
        <v>0.73459999999999404</v>
      </c>
    </row>
    <row r="11" spans="1:8" x14ac:dyDescent="0.2">
      <c r="A11" s="1">
        <v>43313.333333333336</v>
      </c>
      <c r="B11">
        <v>5035</v>
      </c>
      <c r="C11" s="3">
        <v>9.2999999999999999E-2</v>
      </c>
      <c r="D11" s="2">
        <v>1.58395</v>
      </c>
      <c r="E11" s="4">
        <f t="shared" si="0"/>
        <v>1.49095</v>
      </c>
      <c r="F11" t="s">
        <v>6</v>
      </c>
      <c r="G11">
        <v>1E-4</v>
      </c>
      <c r="H11">
        <v>1.58395</v>
      </c>
    </row>
    <row r="12" spans="1:8" x14ac:dyDescent="0.2">
      <c r="A12" s="1">
        <v>43313.333333333336</v>
      </c>
      <c r="B12">
        <v>93</v>
      </c>
      <c r="C12" s="3">
        <v>0.32596666666666602</v>
      </c>
      <c r="D12" s="2">
        <v>0.27793333333333298</v>
      </c>
      <c r="E12" s="4">
        <f t="shared" si="0"/>
        <v>-4.8033333333333039E-2</v>
      </c>
      <c r="F12" t="s">
        <v>7</v>
      </c>
      <c r="G12">
        <v>1E-4</v>
      </c>
      <c r="H12">
        <v>0.27793333333333298</v>
      </c>
    </row>
    <row r="13" spans="1:8" x14ac:dyDescent="0.2">
      <c r="A13" s="1">
        <v>43313.333333333336</v>
      </c>
      <c r="B13">
        <v>171</v>
      </c>
      <c r="C13" s="3">
        <v>0.18074999999999999</v>
      </c>
      <c r="D13" s="2">
        <v>0.62236666666666596</v>
      </c>
      <c r="E13" s="4">
        <f t="shared" si="0"/>
        <v>0.44161666666666599</v>
      </c>
      <c r="F13" t="s">
        <v>7</v>
      </c>
      <c r="G13">
        <v>1E-4</v>
      </c>
      <c r="H13">
        <v>0.62236666666666596</v>
      </c>
    </row>
    <row r="14" spans="1:8" x14ac:dyDescent="0.2">
      <c r="A14" s="1">
        <v>43313.333333333336</v>
      </c>
      <c r="B14">
        <v>668</v>
      </c>
      <c r="C14" s="3">
        <v>0.30176666666666602</v>
      </c>
      <c r="D14" s="2">
        <v>2.1601833333333298</v>
      </c>
      <c r="E14" s="4">
        <f t="shared" si="0"/>
        <v>1.8584166666666637</v>
      </c>
      <c r="F14" t="s">
        <v>7</v>
      </c>
      <c r="G14">
        <v>0.72260000000000002</v>
      </c>
      <c r="H14">
        <v>1.4375833333333299</v>
      </c>
    </row>
    <row r="15" spans="1:8" x14ac:dyDescent="0.2">
      <c r="A15" s="1">
        <v>43313.333333333336</v>
      </c>
      <c r="B15">
        <v>781</v>
      </c>
      <c r="C15" s="3">
        <v>0.54998333333333305</v>
      </c>
      <c r="D15" s="2">
        <v>0.48715000000000003</v>
      </c>
      <c r="E15" s="4">
        <f t="shared" si="0"/>
        <v>-6.2833333333333019E-2</v>
      </c>
      <c r="F15" t="s">
        <v>7</v>
      </c>
      <c r="G15">
        <v>6.6666666666666602E-5</v>
      </c>
      <c r="H15">
        <v>0.48708333333333337</v>
      </c>
    </row>
    <row r="16" spans="1:8" x14ac:dyDescent="0.2">
      <c r="A16" s="1">
        <v>43313.333333333336</v>
      </c>
      <c r="B16">
        <v>974</v>
      </c>
      <c r="C16" s="3">
        <v>0.39336666666666598</v>
      </c>
      <c r="D16" s="2">
        <v>1.0506833333333301</v>
      </c>
      <c r="E16" s="4">
        <f t="shared" si="0"/>
        <v>0.65731666666666411</v>
      </c>
      <c r="F16" t="s">
        <v>7</v>
      </c>
      <c r="G16">
        <v>0.32314999999999999</v>
      </c>
      <c r="H16">
        <v>0.72753333333333003</v>
      </c>
    </row>
    <row r="17" spans="1:8" x14ac:dyDescent="0.2">
      <c r="A17" s="1">
        <v>43313.333333333336</v>
      </c>
      <c r="B17">
        <v>1192</v>
      </c>
      <c r="C17" s="3">
        <v>0.50898333333333301</v>
      </c>
      <c r="D17" s="2">
        <v>0.30214999999999997</v>
      </c>
      <c r="E17" s="4">
        <f t="shared" si="0"/>
        <v>-0.20683333333333304</v>
      </c>
      <c r="F17" t="s">
        <v>7</v>
      </c>
      <c r="G17">
        <v>1.16666666666666E-4</v>
      </c>
      <c r="H17">
        <v>0.30203333333333332</v>
      </c>
    </row>
    <row r="18" spans="1:8" x14ac:dyDescent="0.2">
      <c r="A18" s="1">
        <v>43313.333333333336</v>
      </c>
      <c r="B18">
        <v>1354</v>
      </c>
      <c r="C18" s="3">
        <v>0.46263333333333301</v>
      </c>
      <c r="D18" s="2">
        <v>5.7063333333333297</v>
      </c>
      <c r="E18" s="4">
        <f t="shared" si="0"/>
        <v>5.2436999999999969</v>
      </c>
      <c r="F18" t="s">
        <v>7</v>
      </c>
      <c r="G18">
        <v>4.31863333333333</v>
      </c>
      <c r="H18">
        <v>1.3876999999999997</v>
      </c>
    </row>
    <row r="19" spans="1:8" x14ac:dyDescent="0.2">
      <c r="A19" s="1">
        <v>43313.333333333336</v>
      </c>
      <c r="B19">
        <v>1714</v>
      </c>
      <c r="C19" s="3">
        <v>1.02531666666666</v>
      </c>
      <c r="D19" s="2">
        <v>0.81193333333333295</v>
      </c>
      <c r="E19" s="4">
        <f t="shared" si="0"/>
        <v>-0.21338333333332704</v>
      </c>
      <c r="F19" t="s">
        <v>7</v>
      </c>
      <c r="G19">
        <v>1.5749999999999958E-2</v>
      </c>
      <c r="H19">
        <v>0.79618333333333302</v>
      </c>
    </row>
    <row r="20" spans="1:8" x14ac:dyDescent="0.2">
      <c r="A20" s="1">
        <v>43313.333333333336</v>
      </c>
      <c r="B20">
        <v>1800</v>
      </c>
      <c r="C20" s="3">
        <v>0.349766666666666</v>
      </c>
      <c r="D20" s="2">
        <v>0.67388333333333295</v>
      </c>
      <c r="E20" s="4">
        <f t="shared" si="0"/>
        <v>0.32411666666666694</v>
      </c>
      <c r="F20" t="s">
        <v>7</v>
      </c>
      <c r="G20">
        <v>1.6666666666666601E-4</v>
      </c>
      <c r="H20">
        <v>0.6737166666666663</v>
      </c>
    </row>
    <row r="21" spans="1:8" x14ac:dyDescent="0.2">
      <c r="A21" s="1">
        <v>43313.333333333336</v>
      </c>
      <c r="B21">
        <v>2129</v>
      </c>
      <c r="C21" s="3">
        <v>0.37123333333333303</v>
      </c>
      <c r="D21" s="2">
        <v>1.40933333333333</v>
      </c>
      <c r="E21" s="4">
        <f t="shared" si="0"/>
        <v>1.0380999999999969</v>
      </c>
      <c r="F21" t="s">
        <v>7</v>
      </c>
      <c r="G21">
        <v>0.37740000000000001</v>
      </c>
      <c r="H21">
        <v>1.03193333333333</v>
      </c>
    </row>
    <row r="22" spans="1:8" x14ac:dyDescent="0.2">
      <c r="A22" s="5">
        <v>43313.333333333336</v>
      </c>
      <c r="B22">
        <v>59</v>
      </c>
      <c r="C22" s="3">
        <v>0</v>
      </c>
      <c r="D22" s="2">
        <v>1.5795666666666599</v>
      </c>
      <c r="E22" s="4">
        <f t="shared" ref="E22:E64" si="1">D22-C22</f>
        <v>1.5795666666666599</v>
      </c>
      <c r="F22" t="s">
        <v>8</v>
      </c>
      <c r="G22">
        <v>0.23401666666666601</v>
      </c>
      <c r="H22">
        <v>1.3455499999999938</v>
      </c>
    </row>
    <row r="23" spans="1:8" x14ac:dyDescent="0.2">
      <c r="A23" s="5">
        <v>43313.333333333336</v>
      </c>
      <c r="B23">
        <v>86</v>
      </c>
      <c r="C23" s="3">
        <v>0</v>
      </c>
      <c r="D23" s="2">
        <v>0.97386666666666599</v>
      </c>
      <c r="E23" s="4">
        <f t="shared" si="1"/>
        <v>0.97386666666666599</v>
      </c>
      <c r="F23" t="s">
        <v>8</v>
      </c>
      <c r="G23">
        <v>8.0000000000000004E-4</v>
      </c>
      <c r="H23">
        <v>0.97306666666666597</v>
      </c>
    </row>
    <row r="24" spans="1:8" x14ac:dyDescent="0.2">
      <c r="A24" s="5">
        <v>43313.333333333336</v>
      </c>
      <c r="B24">
        <v>94</v>
      </c>
      <c r="C24" s="3">
        <v>0</v>
      </c>
      <c r="D24" s="2">
        <v>0.38638333333333302</v>
      </c>
      <c r="E24" s="4">
        <f t="shared" si="1"/>
        <v>0.38638333333333302</v>
      </c>
      <c r="F24" t="s">
        <v>8</v>
      </c>
      <c r="G24">
        <v>6.59E-2</v>
      </c>
      <c r="H24">
        <v>0.32048333333333301</v>
      </c>
    </row>
    <row r="25" spans="1:8" x14ac:dyDescent="0.2">
      <c r="A25" s="5">
        <v>43313.333333333336</v>
      </c>
      <c r="B25">
        <v>115</v>
      </c>
      <c r="C25" s="3">
        <v>0</v>
      </c>
      <c r="D25" s="2">
        <v>0.33750000000000002</v>
      </c>
      <c r="E25" s="4">
        <f t="shared" si="1"/>
        <v>0.33750000000000002</v>
      </c>
      <c r="F25" t="s">
        <v>8</v>
      </c>
      <c r="G25">
        <v>1E-4</v>
      </c>
      <c r="H25">
        <v>0.33750000000000002</v>
      </c>
    </row>
    <row r="26" spans="1:8" x14ac:dyDescent="0.2">
      <c r="A26" s="5">
        <v>43313.333333333336</v>
      </c>
      <c r="B26">
        <v>503</v>
      </c>
      <c r="C26" s="3">
        <v>0</v>
      </c>
      <c r="D26" s="2">
        <v>1.28725</v>
      </c>
      <c r="E26" s="4">
        <f t="shared" si="1"/>
        <v>1.28725</v>
      </c>
      <c r="F26" t="s">
        <v>8</v>
      </c>
      <c r="G26">
        <v>0.64528333333333332</v>
      </c>
      <c r="H26">
        <v>0.64196666666666669</v>
      </c>
    </row>
    <row r="27" spans="1:8" x14ac:dyDescent="0.2">
      <c r="A27" s="5">
        <v>43313.333333333336</v>
      </c>
      <c r="B27">
        <v>621</v>
      </c>
      <c r="C27" s="3">
        <v>0</v>
      </c>
      <c r="D27" s="2">
        <v>0.52188333333333303</v>
      </c>
      <c r="E27" s="4">
        <f t="shared" si="1"/>
        <v>0.52188333333333303</v>
      </c>
      <c r="F27" t="s">
        <v>8</v>
      </c>
      <c r="G27">
        <v>1E-4</v>
      </c>
      <c r="H27">
        <v>0.52188333333333303</v>
      </c>
    </row>
    <row r="28" spans="1:8" x14ac:dyDescent="0.2">
      <c r="A28" s="5">
        <v>43313.333333333336</v>
      </c>
      <c r="B28">
        <v>871</v>
      </c>
      <c r="C28" s="3">
        <v>0</v>
      </c>
      <c r="D28" s="2">
        <v>1.00166666666666</v>
      </c>
      <c r="E28" s="4">
        <f t="shared" si="1"/>
        <v>1.00166666666666</v>
      </c>
      <c r="F28" t="s">
        <v>8</v>
      </c>
      <c r="G28">
        <v>0.34336666666666599</v>
      </c>
      <c r="H28">
        <v>0.65829999999999411</v>
      </c>
    </row>
    <row r="29" spans="1:8" x14ac:dyDescent="0.2">
      <c r="A29" s="5">
        <v>43313.333333333336</v>
      </c>
      <c r="B29">
        <v>930</v>
      </c>
      <c r="C29" s="3">
        <v>0</v>
      </c>
      <c r="D29" s="2">
        <v>0.95246666666666602</v>
      </c>
      <c r="E29" s="4">
        <f t="shared" si="1"/>
        <v>0.95246666666666602</v>
      </c>
      <c r="F29" t="s">
        <v>8</v>
      </c>
      <c r="G29">
        <v>0.39673333333333299</v>
      </c>
      <c r="H29">
        <v>0.55573333333333297</v>
      </c>
    </row>
    <row r="30" spans="1:8" x14ac:dyDescent="0.2">
      <c r="A30" s="5">
        <v>43313.333333333336</v>
      </c>
      <c r="B30">
        <v>946</v>
      </c>
      <c r="C30" s="3">
        <v>0</v>
      </c>
      <c r="D30" s="2">
        <v>0.196783333333333</v>
      </c>
      <c r="E30" s="4">
        <f t="shared" si="1"/>
        <v>0.196783333333333</v>
      </c>
      <c r="F30" t="s">
        <v>8</v>
      </c>
      <c r="G30">
        <v>1E-4</v>
      </c>
      <c r="H30">
        <v>0.196783333333333</v>
      </c>
    </row>
    <row r="31" spans="1:8" x14ac:dyDescent="0.2">
      <c r="A31" s="5">
        <v>43313.333333333336</v>
      </c>
      <c r="B31">
        <v>994</v>
      </c>
      <c r="C31" s="3">
        <v>0</v>
      </c>
      <c r="D31" s="2">
        <v>0.30008333333333298</v>
      </c>
      <c r="E31" s="4">
        <f t="shared" si="1"/>
        <v>0.30008333333333298</v>
      </c>
      <c r="F31" t="s">
        <v>8</v>
      </c>
      <c r="G31">
        <v>5.0000000000000001E-3</v>
      </c>
      <c r="H31">
        <v>0.29508333333333298</v>
      </c>
    </row>
    <row r="32" spans="1:8" x14ac:dyDescent="0.2">
      <c r="A32" s="5">
        <v>43313.333333333336</v>
      </c>
      <c r="B32">
        <v>1086</v>
      </c>
      <c r="C32" s="3">
        <v>0</v>
      </c>
      <c r="D32" s="2">
        <v>0.71636666666666604</v>
      </c>
      <c r="E32" s="4">
        <f t="shared" si="1"/>
        <v>0.71636666666666604</v>
      </c>
      <c r="F32" t="s">
        <v>8</v>
      </c>
      <c r="G32">
        <v>8.9999999999999993E-3</v>
      </c>
      <c r="H32">
        <v>0.70736666666666603</v>
      </c>
    </row>
    <row r="33" spans="1:8" x14ac:dyDescent="0.2">
      <c r="A33" s="5">
        <v>43313.333333333336</v>
      </c>
      <c r="B33">
        <v>1202</v>
      </c>
      <c r="C33" s="3">
        <v>0</v>
      </c>
      <c r="D33" s="2">
        <v>1.94061666666666</v>
      </c>
      <c r="E33" s="4">
        <f t="shared" si="1"/>
        <v>1.94061666666666</v>
      </c>
      <c r="F33" t="s">
        <v>8</v>
      </c>
      <c r="G33">
        <v>0.57416666666666671</v>
      </c>
      <c r="H33">
        <v>1.3664499999999933</v>
      </c>
    </row>
    <row r="34" spans="1:8" x14ac:dyDescent="0.2">
      <c r="A34" s="5">
        <v>43313.333333333336</v>
      </c>
      <c r="B34">
        <v>1334</v>
      </c>
      <c r="C34" s="3">
        <v>0</v>
      </c>
      <c r="D34" s="2">
        <v>1.1864666666666599</v>
      </c>
      <c r="E34" s="4">
        <f t="shared" si="1"/>
        <v>1.1864666666666599</v>
      </c>
      <c r="F34" t="s">
        <v>8</v>
      </c>
      <c r="G34">
        <v>0.59989999999999999</v>
      </c>
      <c r="H34">
        <v>0.58656666666665991</v>
      </c>
    </row>
    <row r="35" spans="1:8" x14ac:dyDescent="0.2">
      <c r="A35" s="5">
        <v>43313.333333333336</v>
      </c>
      <c r="B35">
        <v>1500</v>
      </c>
      <c r="C35" s="3">
        <v>0</v>
      </c>
      <c r="D35" s="2">
        <v>0.33886666666666598</v>
      </c>
      <c r="E35" s="4">
        <f t="shared" si="1"/>
        <v>0.33886666666666598</v>
      </c>
      <c r="F35" t="s">
        <v>8</v>
      </c>
      <c r="G35">
        <v>1E-4</v>
      </c>
      <c r="H35">
        <v>0.33886666666666598</v>
      </c>
    </row>
    <row r="36" spans="1:8" x14ac:dyDescent="0.2">
      <c r="A36" s="5">
        <v>43313.333333333336</v>
      </c>
      <c r="B36">
        <v>1507</v>
      </c>
      <c r="C36" s="3">
        <v>0</v>
      </c>
      <c r="D36" s="2">
        <v>3.0606499999999999</v>
      </c>
      <c r="E36" s="4">
        <f t="shared" si="1"/>
        <v>3.0606499999999999</v>
      </c>
      <c r="F36" t="s">
        <v>8</v>
      </c>
      <c r="G36">
        <v>5.0000000000000002E-5</v>
      </c>
      <c r="H36">
        <v>3.0606</v>
      </c>
    </row>
    <row r="37" spans="1:8" x14ac:dyDescent="0.2">
      <c r="A37" s="5">
        <v>43313.333333333336</v>
      </c>
      <c r="B37">
        <v>1796</v>
      </c>
      <c r="C37" s="3">
        <v>0</v>
      </c>
      <c r="D37" s="2">
        <v>0.204916666666666</v>
      </c>
      <c r="E37" s="4">
        <f t="shared" si="1"/>
        <v>0.204916666666666</v>
      </c>
      <c r="F37" t="s">
        <v>8</v>
      </c>
      <c r="G37">
        <v>6.5600000000000006E-2</v>
      </c>
      <c r="H37">
        <v>0.13931666666666598</v>
      </c>
    </row>
    <row r="38" spans="1:8" x14ac:dyDescent="0.2">
      <c r="A38" s="5">
        <v>43313.333333333336</v>
      </c>
      <c r="B38">
        <v>2004</v>
      </c>
      <c r="C38" s="3">
        <v>0</v>
      </c>
      <c r="D38" s="2">
        <v>1.6836833333333301</v>
      </c>
      <c r="E38" s="4">
        <f t="shared" si="1"/>
        <v>1.6836833333333301</v>
      </c>
      <c r="F38" t="s">
        <v>8</v>
      </c>
      <c r="G38">
        <v>0.28711666666666558</v>
      </c>
      <c r="H38">
        <v>1.3965666666666645</v>
      </c>
    </row>
    <row r="39" spans="1:8" x14ac:dyDescent="0.2">
      <c r="A39" s="5">
        <v>43313.333333333336</v>
      </c>
      <c r="B39">
        <v>2034</v>
      </c>
      <c r="C39" s="3">
        <v>0</v>
      </c>
      <c r="D39" s="2">
        <v>0.51708333333333301</v>
      </c>
      <c r="E39" s="4">
        <f t="shared" si="1"/>
        <v>0.51708333333333301</v>
      </c>
      <c r="F39" t="s">
        <v>8</v>
      </c>
      <c r="G39">
        <v>1E-4</v>
      </c>
      <c r="H39">
        <v>0.51708333333333301</v>
      </c>
    </row>
    <row r="40" spans="1:8" x14ac:dyDescent="0.2">
      <c r="A40" s="5">
        <v>43313.333333333336</v>
      </c>
      <c r="B40">
        <v>2158</v>
      </c>
      <c r="C40" s="3">
        <v>0</v>
      </c>
      <c r="D40" s="2">
        <v>0.67879999999999996</v>
      </c>
      <c r="E40" s="4">
        <f t="shared" si="1"/>
        <v>0.67879999999999996</v>
      </c>
      <c r="F40" t="s">
        <v>8</v>
      </c>
      <c r="G40">
        <v>8.4999999999999995E-4</v>
      </c>
      <c r="H40">
        <v>0.67794999999999994</v>
      </c>
    </row>
    <row r="41" spans="1:8" x14ac:dyDescent="0.2">
      <c r="A41" s="5">
        <v>43313.333333333336</v>
      </c>
      <c r="B41">
        <v>2378</v>
      </c>
      <c r="C41" s="3">
        <v>0</v>
      </c>
      <c r="D41" s="2">
        <v>1.5920666666666601</v>
      </c>
      <c r="E41" s="4">
        <f t="shared" si="1"/>
        <v>1.5920666666666601</v>
      </c>
      <c r="F41" t="s">
        <v>8</v>
      </c>
      <c r="G41">
        <v>1.4266666666666599E-2</v>
      </c>
      <c r="H41">
        <v>1.5777999999999934</v>
      </c>
    </row>
    <row r="42" spans="1:8" x14ac:dyDescent="0.2">
      <c r="A42" s="5">
        <v>43313.333333333336</v>
      </c>
      <c r="B42">
        <v>2472</v>
      </c>
      <c r="C42" s="3">
        <v>0</v>
      </c>
      <c r="D42" s="2">
        <v>1.0424500000000001</v>
      </c>
      <c r="E42" s="4">
        <f t="shared" si="1"/>
        <v>1.0424500000000001</v>
      </c>
      <c r="F42" t="s">
        <v>8</v>
      </c>
      <c r="G42">
        <v>0.50736666666666597</v>
      </c>
      <c r="H42">
        <v>0.53508333333333413</v>
      </c>
    </row>
    <row r="43" spans="1:8" x14ac:dyDescent="0.2">
      <c r="A43" s="5">
        <v>43313.333333333336</v>
      </c>
      <c r="B43">
        <v>2859</v>
      </c>
      <c r="C43" s="3">
        <v>0</v>
      </c>
      <c r="D43" s="2">
        <v>0.35253333333333298</v>
      </c>
      <c r="E43" s="4">
        <f t="shared" si="1"/>
        <v>0.35253333333333298</v>
      </c>
      <c r="F43" t="s">
        <v>8</v>
      </c>
      <c r="G43">
        <v>0.15366666666666601</v>
      </c>
      <c r="H43">
        <v>0.19886666666666697</v>
      </c>
    </row>
    <row r="44" spans="1:8" x14ac:dyDescent="0.2">
      <c r="A44" s="5">
        <v>43313.333333333336</v>
      </c>
      <c r="B44">
        <v>2953</v>
      </c>
      <c r="C44" s="3">
        <v>0</v>
      </c>
      <c r="D44" s="2">
        <v>1.2394000000000001</v>
      </c>
      <c r="E44" s="4">
        <f t="shared" si="1"/>
        <v>1.2394000000000001</v>
      </c>
      <c r="F44" t="s">
        <v>8</v>
      </c>
      <c r="G44">
        <v>0.82873333333333299</v>
      </c>
      <c r="H44">
        <v>0.41066666666666707</v>
      </c>
    </row>
    <row r="45" spans="1:8" x14ac:dyDescent="0.2">
      <c r="A45" s="5">
        <v>43313.333333333336</v>
      </c>
      <c r="B45">
        <v>3273</v>
      </c>
      <c r="C45" s="3">
        <v>0</v>
      </c>
      <c r="D45" s="2">
        <v>0.81455</v>
      </c>
      <c r="E45" s="4">
        <f t="shared" si="1"/>
        <v>0.81455</v>
      </c>
      <c r="F45" t="s">
        <v>8</v>
      </c>
      <c r="G45">
        <v>0.178916666666666</v>
      </c>
      <c r="H45">
        <v>0.63563333333333394</v>
      </c>
    </row>
    <row r="46" spans="1:8" x14ac:dyDescent="0.2">
      <c r="A46" s="5">
        <v>43313.333333333336</v>
      </c>
      <c r="B46">
        <v>3401</v>
      </c>
      <c r="C46" s="3">
        <v>0</v>
      </c>
      <c r="D46" s="2">
        <v>1.08696666666666</v>
      </c>
      <c r="E46" s="4">
        <f t="shared" si="1"/>
        <v>1.08696666666666</v>
      </c>
      <c r="F46" t="s">
        <v>8</v>
      </c>
      <c r="G46">
        <v>2.1850000000000001E-2</v>
      </c>
      <c r="H46">
        <v>1.0651166666666601</v>
      </c>
    </row>
    <row r="47" spans="1:8" x14ac:dyDescent="0.2">
      <c r="A47" s="5">
        <v>43313.333333333336</v>
      </c>
      <c r="B47">
        <v>3778</v>
      </c>
      <c r="C47" s="3">
        <v>0</v>
      </c>
      <c r="D47" s="2">
        <v>0.52991666666666604</v>
      </c>
      <c r="E47" s="4">
        <f t="shared" si="1"/>
        <v>0.52991666666666604</v>
      </c>
      <c r="F47" t="s">
        <v>8</v>
      </c>
      <c r="G47">
        <v>1E-4</v>
      </c>
      <c r="H47">
        <v>0.52991666666666604</v>
      </c>
    </row>
    <row r="48" spans="1:8" x14ac:dyDescent="0.2">
      <c r="A48" s="5">
        <v>43313.333333333336</v>
      </c>
      <c r="B48">
        <v>3831</v>
      </c>
      <c r="C48" s="3">
        <v>0</v>
      </c>
      <c r="D48" s="2">
        <v>0.58623333333333305</v>
      </c>
      <c r="E48" s="4">
        <f t="shared" si="1"/>
        <v>0.58623333333333305</v>
      </c>
      <c r="F48" t="s">
        <v>8</v>
      </c>
      <c r="G48">
        <v>0.16944999999999999</v>
      </c>
      <c r="H48">
        <v>0.41678333333333306</v>
      </c>
    </row>
    <row r="49" spans="1:8" x14ac:dyDescent="0.2">
      <c r="A49" s="5">
        <v>43313.333333333336</v>
      </c>
      <c r="B49">
        <v>3893</v>
      </c>
      <c r="C49" s="3">
        <v>0</v>
      </c>
      <c r="D49" s="2">
        <v>0.61523333333333297</v>
      </c>
      <c r="E49" s="4">
        <f t="shared" si="1"/>
        <v>0.61523333333333297</v>
      </c>
      <c r="F49" t="s">
        <v>8</v>
      </c>
      <c r="G49">
        <v>3.1666666666666666E-3</v>
      </c>
      <c r="H49">
        <v>0.61206666666666631</v>
      </c>
    </row>
    <row r="50" spans="1:8" x14ac:dyDescent="0.2">
      <c r="A50" s="5">
        <v>43313.333333333336</v>
      </c>
      <c r="B50">
        <v>4213</v>
      </c>
      <c r="C50" s="3">
        <v>0</v>
      </c>
      <c r="D50" s="2">
        <v>0.83601666666666596</v>
      </c>
      <c r="E50" s="4">
        <f t="shared" si="1"/>
        <v>0.83601666666666596</v>
      </c>
      <c r="F50" t="s">
        <v>8</v>
      </c>
      <c r="G50">
        <v>4.8300000000000003E-2</v>
      </c>
      <c r="H50">
        <v>0.78771666666666595</v>
      </c>
    </row>
    <row r="51" spans="1:8" x14ac:dyDescent="0.2">
      <c r="A51" s="5">
        <v>43313.333333333336</v>
      </c>
      <c r="B51">
        <v>4298</v>
      </c>
      <c r="C51" s="3">
        <v>0</v>
      </c>
      <c r="D51" s="2">
        <v>0.38300000000000001</v>
      </c>
      <c r="E51" s="4">
        <f t="shared" si="1"/>
        <v>0.38300000000000001</v>
      </c>
      <c r="F51" t="s">
        <v>8</v>
      </c>
      <c r="G51">
        <v>4.5083333333333302E-2</v>
      </c>
      <c r="H51">
        <v>0.3379166666666667</v>
      </c>
    </row>
    <row r="52" spans="1:8" x14ac:dyDescent="0.2">
      <c r="A52" s="5">
        <v>43313.333333333336</v>
      </c>
      <c r="B52">
        <v>370</v>
      </c>
      <c r="C52" t="e">
        <f t="array" ref="C52">VLOOKUP(A52&amp;B52,IF({1,0},#REF!&amp;#REF!,#REF!),2,FALSE)</f>
        <v>#N/A</v>
      </c>
      <c r="D52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0.33106666666666601</v>
      </c>
      <c r="H52">
        <v>0.49803333333333394</v>
      </c>
    </row>
    <row r="53" spans="1:8" x14ac:dyDescent="0.2">
      <c r="A53" s="5">
        <v>43313.333333333336</v>
      </c>
      <c r="B53">
        <v>2638</v>
      </c>
      <c r="C53" t="e">
        <f t="array" ref="C53">VLOOKUP(A53&amp;B53,IF({1,0},#REF!&amp;#REF!,#REF!),2,FALSE)</f>
        <v>#N/A</v>
      </c>
      <c r="D5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0.56376666666666597</v>
      </c>
      <c r="H53">
        <v>0.80573333333333397</v>
      </c>
    </row>
    <row r="54" spans="1:8" x14ac:dyDescent="0.2">
      <c r="A54" s="5">
        <v>43313.333333333336</v>
      </c>
      <c r="B54">
        <v>3482</v>
      </c>
      <c r="C54" t="e">
        <f t="array" ref="C54">VLOOKUP(A54&amp;B54,IF({1,0},#REF!&amp;#REF!,#REF!),2,FALSE)</f>
        <v>#N/A</v>
      </c>
      <c r="D54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0.11821666666666633</v>
      </c>
      <c r="H54">
        <v>0.40039999999999965</v>
      </c>
    </row>
    <row r="55" spans="1:8" x14ac:dyDescent="0.2">
      <c r="A55" s="5">
        <v>43313.333333333336</v>
      </c>
      <c r="B55">
        <v>3723</v>
      </c>
      <c r="C55" t="e">
        <f t="array" ref="C55">VLOOKUP(A55&amp;B55,IF({1,0},#REF!&amp;#REF!,#REF!),2,FALSE)</f>
        <v>#N/A</v>
      </c>
      <c r="D55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0.70391666666666597</v>
      </c>
      <c r="H55">
        <v>0.65111666666666401</v>
      </c>
    </row>
    <row r="56" spans="1:8" x14ac:dyDescent="0.2">
      <c r="A56" s="5">
        <v>43313.333333333336</v>
      </c>
      <c r="B56">
        <v>3967</v>
      </c>
      <c r="C56" t="e">
        <f t="array" ref="C56">VLOOKUP(A56&amp;B56,IF({1,0},#REF!&amp;#REF!,#REF!),2,FALSE)</f>
        <v>#N/A</v>
      </c>
      <c r="D56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0.49973333333333297</v>
      </c>
      <c r="H56">
        <v>0.63966666666666705</v>
      </c>
    </row>
    <row r="57" spans="1:8" x14ac:dyDescent="0.2">
      <c r="A57" s="5">
        <v>43313.333333333336</v>
      </c>
      <c r="B57">
        <v>4998</v>
      </c>
      <c r="C57" t="e">
        <f t="array" ref="C57">VLOOKUP(A57&amp;B57,IF({1,0},#REF!&amp;#REF!,#REF!),2,FALSE)</f>
        <v>#N/A</v>
      </c>
      <c r="D57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0.48401666666666598</v>
      </c>
      <c r="H57">
        <v>0.69173333333333409</v>
      </c>
    </row>
    <row r="58" spans="1:8" x14ac:dyDescent="0.2">
      <c r="A58" s="5">
        <v>43313.333333333336</v>
      </c>
      <c r="B58">
        <v>5749</v>
      </c>
      <c r="C58" t="e">
        <f t="array" ref="C58">VLOOKUP(A58&amp;B58,IF({1,0},#REF!&amp;#REF!,#REF!),2,FALSE)</f>
        <v>#N/A</v>
      </c>
      <c r="D58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1.0333999999999985</v>
      </c>
      <c r="H58">
        <v>1.2381500000000014</v>
      </c>
    </row>
    <row r="59" spans="1:8" x14ac:dyDescent="0.2">
      <c r="A59" s="5">
        <v>43313.333333333336</v>
      </c>
      <c r="B59">
        <v>6248</v>
      </c>
      <c r="C59" t="e">
        <f t="array" ref="C59">VLOOKUP(A59&amp;B59,IF({1,0},#REF!&amp;#REF!,#REF!),2,FALSE)</f>
        <v>#N/A</v>
      </c>
      <c r="D59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0.43335000000000001</v>
      </c>
      <c r="H59">
        <v>1.21518333333333</v>
      </c>
    </row>
    <row r="60" spans="1:8" x14ac:dyDescent="0.2">
      <c r="A60" s="5">
        <v>43313.333333333336</v>
      </c>
      <c r="B60">
        <v>6691</v>
      </c>
      <c r="C60" t="e">
        <f t="array" ref="C60">VLOOKUP(A60&amp;B60,IF({1,0},#REF!&amp;#REF!,#REF!),2,FALSE)</f>
        <v>#N/A</v>
      </c>
      <c r="D60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1.9283333333333336E-2</v>
      </c>
      <c r="H60">
        <v>0.80804999999999971</v>
      </c>
    </row>
    <row r="61" spans="1:8" x14ac:dyDescent="0.2">
      <c r="A61" s="5">
        <v>43313.333333333336</v>
      </c>
      <c r="B61">
        <v>7024</v>
      </c>
      <c r="C61" t="e">
        <f t="array" ref="C61">VLOOKUP(A61&amp;B61,IF({1,0},#REF!&amp;#REF!,#REF!),2,FALSE)</f>
        <v>#N/A</v>
      </c>
      <c r="D61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0.82533333333333303</v>
      </c>
      <c r="H61">
        <v>0.91354999999999698</v>
      </c>
    </row>
    <row r="62" spans="1:8" x14ac:dyDescent="0.2">
      <c r="A62" s="5">
        <v>43313.333333333336</v>
      </c>
      <c r="B62">
        <v>7875</v>
      </c>
      <c r="C62" t="e">
        <f t="array" ref="C62">VLOOKUP(A62&amp;B62,IF({1,0},#REF!&amp;#REF!,#REF!),2,FALSE)</f>
        <v>#N/A</v>
      </c>
      <c r="D62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0.4967999999999993</v>
      </c>
      <c r="H62">
        <v>0.36195000000000072</v>
      </c>
    </row>
    <row r="63" spans="1:8" x14ac:dyDescent="0.2">
      <c r="A63" s="5">
        <v>43313.333333333336</v>
      </c>
      <c r="B63">
        <v>8236</v>
      </c>
      <c r="C63" t="e">
        <f t="array" ref="C63">VLOOKUP(A63&amp;B63,IF({1,0},#REF!&amp;#REF!,#REF!),2,FALSE)</f>
        <v>#N/A</v>
      </c>
      <c r="D6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0.6237333333333327</v>
      </c>
      <c r="H63">
        <v>0.34018333333333328</v>
      </c>
    </row>
    <row r="64" spans="1:8" x14ac:dyDescent="0.2">
      <c r="A64" s="5">
        <v>43313.333333333336</v>
      </c>
      <c r="B64">
        <v>8645</v>
      </c>
      <c r="C64" t="e">
        <f t="array" ref="C64">VLOOKUP(A64&amp;B64,IF({1,0},#REF!&amp;#REF!,#REF!),2,FALSE)</f>
        <v>#N/A</v>
      </c>
      <c r="D64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0.2117999999999996</v>
      </c>
      <c r="H64">
        <v>0.1460500000000004</v>
      </c>
    </row>
    <row r="65" spans="1:5" x14ac:dyDescent="0.2">
      <c r="A65" s="5"/>
      <c r="E65"/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F5256-F47A-6948-95A1-A5E0CB789B59}">
  <dimension ref="A1:H17111"/>
  <sheetViews>
    <sheetView topLeftCell="A31" zoomScale="173" workbookViewId="0">
      <selection activeCell="G47" sqref="G47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17</v>
      </c>
      <c r="H1" t="s">
        <v>18</v>
      </c>
    </row>
    <row r="2" spans="1:8" x14ac:dyDescent="0.2">
      <c r="A2" s="1">
        <v>43313.375</v>
      </c>
      <c r="B2">
        <v>252</v>
      </c>
      <c r="C2" s="3">
        <v>0.99790000000000001</v>
      </c>
      <c r="D2" s="2">
        <v>4.09873333333333</v>
      </c>
      <c r="E2" s="4">
        <f>D2-C2</f>
        <v>3.10083333333333</v>
      </c>
      <c r="F2" t="s">
        <v>6</v>
      </c>
      <c r="G2">
        <v>1E-4</v>
      </c>
      <c r="H2">
        <v>3.1406833333333299</v>
      </c>
    </row>
    <row r="3" spans="1:8" x14ac:dyDescent="0.2">
      <c r="A3" s="1">
        <v>43313.375</v>
      </c>
      <c r="B3">
        <v>379</v>
      </c>
      <c r="C3" s="3">
        <v>2.2822833333333299</v>
      </c>
      <c r="D3" s="2">
        <v>2.2087333333333299</v>
      </c>
      <c r="E3" s="4">
        <f t="shared" ref="E3:E21" si="0">D3-C3</f>
        <v>-7.3550000000000004E-2</v>
      </c>
      <c r="F3" t="s">
        <v>6</v>
      </c>
      <c r="G3">
        <v>0.82408333333333261</v>
      </c>
      <c r="H3">
        <v>0.99139999999999739</v>
      </c>
    </row>
    <row r="4" spans="1:8" x14ac:dyDescent="0.2">
      <c r="A4" s="1">
        <v>43313.375</v>
      </c>
      <c r="B4">
        <v>434</v>
      </c>
      <c r="C4" s="3">
        <v>3.5852833333333298</v>
      </c>
      <c r="D4" s="2">
        <v>1.7681166666666599</v>
      </c>
      <c r="E4" s="4">
        <f t="shared" si="0"/>
        <v>-1.8171666666666699</v>
      </c>
      <c r="F4" t="s">
        <v>6</v>
      </c>
      <c r="G4">
        <v>1E-4</v>
      </c>
      <c r="H4">
        <v>0.51</v>
      </c>
    </row>
    <row r="5" spans="1:8" x14ac:dyDescent="0.2">
      <c r="A5" s="1">
        <v>43313.375</v>
      </c>
      <c r="B5">
        <v>1718</v>
      </c>
      <c r="C5" s="3">
        <v>1.1615833333333301</v>
      </c>
      <c r="D5" s="2">
        <v>3.8220333333333301</v>
      </c>
      <c r="E5" s="4">
        <f t="shared" si="0"/>
        <v>2.66045</v>
      </c>
      <c r="F5" t="s">
        <v>6</v>
      </c>
      <c r="G5">
        <v>1E-4</v>
      </c>
      <c r="H5">
        <v>2.1174333333333299</v>
      </c>
    </row>
    <row r="6" spans="1:8" x14ac:dyDescent="0.2">
      <c r="A6" s="1">
        <v>43313.375</v>
      </c>
      <c r="B6">
        <v>1792</v>
      </c>
      <c r="C6" s="3">
        <v>1.13438333333333</v>
      </c>
      <c r="D6" s="2">
        <v>1.8448</v>
      </c>
      <c r="E6" s="4">
        <f t="shared" si="0"/>
        <v>0.71041666666667003</v>
      </c>
      <c r="F6" t="s">
        <v>6</v>
      </c>
      <c r="G6">
        <v>1E-4</v>
      </c>
      <c r="H6">
        <v>4.7733666666666599</v>
      </c>
    </row>
    <row r="7" spans="1:8" x14ac:dyDescent="0.2">
      <c r="A7" s="1">
        <v>43313.375</v>
      </c>
      <c r="B7">
        <v>2925</v>
      </c>
      <c r="C7" s="3">
        <v>1.48248333333333</v>
      </c>
      <c r="D7" s="2">
        <v>2.3434666666666599</v>
      </c>
      <c r="E7" s="4">
        <f t="shared" si="0"/>
        <v>0.86098333333332988</v>
      </c>
      <c r="F7" t="s">
        <v>6</v>
      </c>
      <c r="G7">
        <v>1E-4</v>
      </c>
      <c r="H7">
        <v>2.2825500000000001</v>
      </c>
    </row>
    <row r="8" spans="1:8" x14ac:dyDescent="0.2">
      <c r="A8" s="1">
        <v>43313.375</v>
      </c>
      <c r="B8">
        <v>3649</v>
      </c>
      <c r="C8" s="3">
        <v>2.3738333333333301</v>
      </c>
      <c r="D8" s="2">
        <v>1.06738333333333</v>
      </c>
      <c r="E8" s="4">
        <f t="shared" si="0"/>
        <v>-1.3064500000000001</v>
      </c>
      <c r="F8" t="s">
        <v>6</v>
      </c>
      <c r="G8">
        <v>1.01166666666666E-2</v>
      </c>
      <c r="H8">
        <v>1.3103333333333333</v>
      </c>
    </row>
    <row r="9" spans="1:8" x14ac:dyDescent="0.2">
      <c r="A9" s="1">
        <v>43313.375</v>
      </c>
      <c r="B9">
        <v>4357</v>
      </c>
      <c r="C9" s="3">
        <v>1.0852333333333299</v>
      </c>
      <c r="D9" s="2">
        <v>0.28286666666666599</v>
      </c>
      <c r="E9" s="4">
        <f t="shared" si="0"/>
        <v>-0.80236666666666401</v>
      </c>
      <c r="F9" t="s">
        <v>6</v>
      </c>
      <c r="G9">
        <v>1E-4</v>
      </c>
      <c r="H9">
        <v>0.35561666666666603</v>
      </c>
    </row>
    <row r="10" spans="1:8" x14ac:dyDescent="0.2">
      <c r="A10" s="1">
        <v>43313.375</v>
      </c>
      <c r="B10">
        <v>4874</v>
      </c>
      <c r="C10" s="3">
        <v>1.2556</v>
      </c>
      <c r="D10" s="2">
        <v>2.0377999999999998</v>
      </c>
      <c r="E10" s="4">
        <f t="shared" si="0"/>
        <v>0.78219999999999978</v>
      </c>
      <c r="F10" t="s">
        <v>6</v>
      </c>
      <c r="G10">
        <v>0.58491666666666597</v>
      </c>
      <c r="H10">
        <v>0.73459999999999404</v>
      </c>
    </row>
    <row r="11" spans="1:8" x14ac:dyDescent="0.2">
      <c r="A11" s="1">
        <v>43313.375</v>
      </c>
      <c r="B11">
        <v>5035</v>
      </c>
      <c r="C11" s="3">
        <v>0.43880000000000002</v>
      </c>
      <c r="D11" s="2">
        <v>3.1674500000000001</v>
      </c>
      <c r="E11" s="4">
        <f t="shared" si="0"/>
        <v>2.72865</v>
      </c>
      <c r="F11" t="s">
        <v>6</v>
      </c>
      <c r="G11">
        <v>1E-4</v>
      </c>
      <c r="H11">
        <v>1.58395</v>
      </c>
    </row>
    <row r="12" spans="1:8" x14ac:dyDescent="0.2">
      <c r="A12" s="1">
        <v>43313.375</v>
      </c>
      <c r="B12">
        <v>93</v>
      </c>
      <c r="C12" s="3">
        <v>1.42703333333333</v>
      </c>
      <c r="D12" s="2">
        <v>0.38946666666666602</v>
      </c>
      <c r="E12" s="4">
        <f t="shared" si="0"/>
        <v>-1.0375666666666641</v>
      </c>
      <c r="F12" t="s">
        <v>7</v>
      </c>
      <c r="G12">
        <v>1E-4</v>
      </c>
      <c r="H12">
        <v>0.27793333333333298</v>
      </c>
    </row>
    <row r="13" spans="1:8" x14ac:dyDescent="0.2">
      <c r="A13" s="1">
        <v>43313.375</v>
      </c>
      <c r="B13">
        <v>171</v>
      </c>
      <c r="C13" s="3">
        <v>0.45521666666666599</v>
      </c>
      <c r="D13" s="2">
        <v>0.78725000000000001</v>
      </c>
      <c r="E13" s="4">
        <f t="shared" si="0"/>
        <v>0.33203333333333401</v>
      </c>
      <c r="F13" t="s">
        <v>7</v>
      </c>
      <c r="G13">
        <v>1E-4</v>
      </c>
      <c r="H13">
        <v>0.62236666666666596</v>
      </c>
    </row>
    <row r="14" spans="1:8" x14ac:dyDescent="0.2">
      <c r="A14" s="1">
        <v>43313.375</v>
      </c>
      <c r="B14">
        <v>668</v>
      </c>
      <c r="C14" s="3">
        <v>1.02266666666666</v>
      </c>
      <c r="D14" s="2">
        <v>2.6179333333333301</v>
      </c>
      <c r="E14" s="4">
        <f t="shared" si="0"/>
        <v>1.5952666666666702</v>
      </c>
      <c r="F14" t="s">
        <v>7</v>
      </c>
      <c r="G14">
        <v>0.72260000000000002</v>
      </c>
      <c r="H14">
        <v>1.4375833333333299</v>
      </c>
    </row>
    <row r="15" spans="1:8" x14ac:dyDescent="0.2">
      <c r="A15" s="1">
        <v>43313.375</v>
      </c>
      <c r="B15">
        <v>781</v>
      </c>
      <c r="C15" s="3">
        <v>1.23153333333333</v>
      </c>
      <c r="D15" s="2">
        <v>0.628033333333333</v>
      </c>
      <c r="E15" s="4">
        <f t="shared" si="0"/>
        <v>-0.60349999999999704</v>
      </c>
      <c r="F15" t="s">
        <v>7</v>
      </c>
      <c r="G15">
        <v>6.6666666666666602E-5</v>
      </c>
      <c r="H15">
        <v>0.48708333333333337</v>
      </c>
    </row>
    <row r="16" spans="1:8" x14ac:dyDescent="0.2">
      <c r="A16" s="1">
        <v>43313.375</v>
      </c>
      <c r="B16">
        <v>974</v>
      </c>
      <c r="C16" s="3">
        <v>1.4023333333333301</v>
      </c>
      <c r="D16" s="2">
        <v>1.1185499999999999</v>
      </c>
      <c r="E16" s="4">
        <f t="shared" si="0"/>
        <v>-0.28378333333333017</v>
      </c>
      <c r="F16" t="s">
        <v>7</v>
      </c>
      <c r="G16">
        <v>0.32314999999999999</v>
      </c>
      <c r="H16">
        <v>0.72753333333333003</v>
      </c>
    </row>
    <row r="17" spans="1:8" x14ac:dyDescent="0.2">
      <c r="A17" s="1">
        <v>43313.375</v>
      </c>
      <c r="B17">
        <v>1192</v>
      </c>
      <c r="C17" s="3">
        <v>1.1249</v>
      </c>
      <c r="D17" s="2">
        <v>0.97351666666666603</v>
      </c>
      <c r="E17" s="4">
        <f t="shared" si="0"/>
        <v>-0.15138333333333398</v>
      </c>
      <c r="F17" t="s">
        <v>7</v>
      </c>
      <c r="G17">
        <v>1.16666666666666E-4</v>
      </c>
      <c r="H17">
        <v>0.30203333333333332</v>
      </c>
    </row>
    <row r="18" spans="1:8" x14ac:dyDescent="0.2">
      <c r="A18" s="1">
        <v>43313.375</v>
      </c>
      <c r="B18">
        <v>1354</v>
      </c>
      <c r="C18" s="3">
        <v>1.8646</v>
      </c>
      <c r="D18" s="2">
        <v>2.7490666666666601</v>
      </c>
      <c r="E18" s="4">
        <f t="shared" si="0"/>
        <v>0.88446666666666007</v>
      </c>
      <c r="F18" t="s">
        <v>7</v>
      </c>
      <c r="G18">
        <v>4.31863333333333</v>
      </c>
      <c r="H18">
        <v>1.3876999999999997</v>
      </c>
    </row>
    <row r="19" spans="1:8" x14ac:dyDescent="0.2">
      <c r="A19" s="1">
        <v>43313.375</v>
      </c>
      <c r="B19">
        <v>1714</v>
      </c>
      <c r="C19" s="3">
        <v>1.9102666666666599</v>
      </c>
      <c r="D19" s="2">
        <v>1.30965</v>
      </c>
      <c r="E19" s="4">
        <f t="shared" si="0"/>
        <v>-0.60061666666665992</v>
      </c>
      <c r="F19" t="s">
        <v>7</v>
      </c>
      <c r="G19">
        <v>1.5749999999999958E-2</v>
      </c>
      <c r="H19">
        <v>0.79618333333333302</v>
      </c>
    </row>
    <row r="20" spans="1:8" x14ac:dyDescent="0.2">
      <c r="A20" s="1">
        <v>43313.375</v>
      </c>
      <c r="B20">
        <v>1800</v>
      </c>
      <c r="C20" s="3">
        <v>1.1114333333333299</v>
      </c>
      <c r="D20" s="2">
        <v>0.71796666666666598</v>
      </c>
      <c r="E20" s="4">
        <f t="shared" si="0"/>
        <v>-0.39346666666666397</v>
      </c>
      <c r="F20" t="s">
        <v>7</v>
      </c>
      <c r="G20">
        <v>1.6666666666666601E-4</v>
      </c>
      <c r="H20">
        <v>0.6737166666666663</v>
      </c>
    </row>
    <row r="21" spans="1:8" x14ac:dyDescent="0.2">
      <c r="A21" s="1">
        <v>43313.375</v>
      </c>
      <c r="B21">
        <v>2129</v>
      </c>
      <c r="C21" s="3">
        <v>1.15821666666666</v>
      </c>
      <c r="D21" s="2">
        <v>1.7693000000000001</v>
      </c>
      <c r="E21" s="4">
        <f t="shared" si="0"/>
        <v>0.61108333333334008</v>
      </c>
      <c r="F21" t="s">
        <v>7</v>
      </c>
      <c r="G21">
        <v>0.37740000000000001</v>
      </c>
      <c r="H21">
        <v>1.03193333333333</v>
      </c>
    </row>
    <row r="22" spans="1:8" x14ac:dyDescent="0.2">
      <c r="A22" s="1">
        <v>43313.375</v>
      </c>
      <c r="B22">
        <v>59</v>
      </c>
      <c r="C22" s="3">
        <v>0</v>
      </c>
      <c r="D22" s="2">
        <v>2.40838333333333</v>
      </c>
      <c r="E22" s="4">
        <f t="shared" ref="E22:E64" si="1">D22-C22</f>
        <v>2.40838333333333</v>
      </c>
      <c r="F22" t="s">
        <v>8</v>
      </c>
      <c r="G22">
        <v>0.23401666666666601</v>
      </c>
      <c r="H22">
        <v>1.3455499999999938</v>
      </c>
    </row>
    <row r="23" spans="1:8" x14ac:dyDescent="0.2">
      <c r="A23" s="1">
        <v>43313.375</v>
      </c>
      <c r="B23">
        <v>86</v>
      </c>
      <c r="C23" s="3">
        <v>0</v>
      </c>
      <c r="D23" s="2">
        <v>0.77810000000000001</v>
      </c>
      <c r="E23" s="4">
        <f t="shared" si="1"/>
        <v>0.77810000000000001</v>
      </c>
      <c r="F23" t="s">
        <v>8</v>
      </c>
      <c r="G23">
        <v>8.0000000000000004E-4</v>
      </c>
      <c r="H23">
        <v>0.97306666666666597</v>
      </c>
    </row>
    <row r="24" spans="1:8" x14ac:dyDescent="0.2">
      <c r="A24" s="1">
        <v>43313.375</v>
      </c>
      <c r="B24">
        <v>94</v>
      </c>
      <c r="C24" s="3">
        <v>0</v>
      </c>
      <c r="D24" s="2">
        <v>0.38498333333333301</v>
      </c>
      <c r="E24" s="4">
        <f t="shared" si="1"/>
        <v>0.38498333333333301</v>
      </c>
      <c r="F24" t="s">
        <v>8</v>
      </c>
      <c r="G24">
        <v>6.59E-2</v>
      </c>
      <c r="H24">
        <v>0.32048333333333301</v>
      </c>
    </row>
    <row r="25" spans="1:8" x14ac:dyDescent="0.2">
      <c r="A25" s="1">
        <v>43313.375</v>
      </c>
      <c r="B25">
        <v>115</v>
      </c>
      <c r="C25" s="3">
        <v>0</v>
      </c>
      <c r="D25" s="2">
        <v>1.02596666666666</v>
      </c>
      <c r="E25" s="4">
        <f t="shared" si="1"/>
        <v>1.02596666666666</v>
      </c>
      <c r="F25" t="s">
        <v>8</v>
      </c>
      <c r="G25">
        <v>1E-4</v>
      </c>
      <c r="H25">
        <v>0.33750000000000002</v>
      </c>
    </row>
    <row r="26" spans="1:8" x14ac:dyDescent="0.2">
      <c r="A26" s="1">
        <v>43313.375</v>
      </c>
      <c r="B26">
        <v>503</v>
      </c>
      <c r="C26" s="3">
        <v>0</v>
      </c>
      <c r="D26" s="2">
        <v>0.75698333333333301</v>
      </c>
      <c r="E26" s="4">
        <f t="shared" si="1"/>
        <v>0.75698333333333301</v>
      </c>
      <c r="F26" t="s">
        <v>8</v>
      </c>
      <c r="G26">
        <v>0.64528333333333332</v>
      </c>
      <c r="H26">
        <v>0.64196666666666669</v>
      </c>
    </row>
    <row r="27" spans="1:8" x14ac:dyDescent="0.2">
      <c r="A27" s="1">
        <v>43313.375</v>
      </c>
      <c r="B27">
        <v>621</v>
      </c>
      <c r="C27" s="3">
        <v>0</v>
      </c>
      <c r="D27" s="2">
        <v>0.47293333333333298</v>
      </c>
      <c r="E27" s="4">
        <f t="shared" si="1"/>
        <v>0.47293333333333298</v>
      </c>
      <c r="F27" t="s">
        <v>8</v>
      </c>
      <c r="G27">
        <v>1E-4</v>
      </c>
      <c r="H27">
        <v>0.52188333333333303</v>
      </c>
    </row>
    <row r="28" spans="1:8" x14ac:dyDescent="0.2">
      <c r="A28" s="1">
        <v>43313.375</v>
      </c>
      <c r="B28">
        <v>871</v>
      </c>
      <c r="C28" s="3">
        <v>0</v>
      </c>
      <c r="D28" s="2">
        <v>0.44943333333333302</v>
      </c>
      <c r="E28" s="4">
        <f t="shared" si="1"/>
        <v>0.44943333333333302</v>
      </c>
      <c r="F28" t="s">
        <v>8</v>
      </c>
      <c r="G28">
        <v>0.34336666666666599</v>
      </c>
      <c r="H28">
        <v>0.65829999999999411</v>
      </c>
    </row>
    <row r="29" spans="1:8" x14ac:dyDescent="0.2">
      <c r="A29" s="1">
        <v>43313.375</v>
      </c>
      <c r="B29">
        <v>930</v>
      </c>
      <c r="C29" s="3">
        <v>0</v>
      </c>
      <c r="D29" s="2">
        <v>0.8538</v>
      </c>
      <c r="E29" s="4">
        <f t="shared" si="1"/>
        <v>0.8538</v>
      </c>
      <c r="F29" t="s">
        <v>8</v>
      </c>
      <c r="G29">
        <v>0.39673333333333299</v>
      </c>
      <c r="H29">
        <v>0.55573333333333297</v>
      </c>
    </row>
    <row r="30" spans="1:8" x14ac:dyDescent="0.2">
      <c r="A30" s="1">
        <v>43313.375</v>
      </c>
      <c r="B30">
        <v>946</v>
      </c>
      <c r="C30" s="3">
        <v>0</v>
      </c>
      <c r="D30" s="2">
        <v>0.35393333333333299</v>
      </c>
      <c r="E30" s="4">
        <f t="shared" si="1"/>
        <v>0.35393333333333299</v>
      </c>
      <c r="F30" t="s">
        <v>8</v>
      </c>
      <c r="G30">
        <v>1E-4</v>
      </c>
      <c r="H30">
        <v>0.196783333333333</v>
      </c>
    </row>
    <row r="31" spans="1:8" x14ac:dyDescent="0.2">
      <c r="A31" s="1">
        <v>43313.375</v>
      </c>
      <c r="B31">
        <v>994</v>
      </c>
      <c r="C31" s="3">
        <v>0</v>
      </c>
      <c r="D31" s="2">
        <v>0.34796666666666598</v>
      </c>
      <c r="E31" s="4">
        <f t="shared" si="1"/>
        <v>0.34796666666666598</v>
      </c>
      <c r="F31" t="s">
        <v>8</v>
      </c>
      <c r="G31">
        <v>5.0000000000000001E-3</v>
      </c>
      <c r="H31">
        <v>0.29508333333333298</v>
      </c>
    </row>
    <row r="32" spans="1:8" x14ac:dyDescent="0.2">
      <c r="A32" s="1">
        <v>43313.375</v>
      </c>
      <c r="B32">
        <v>1086</v>
      </c>
      <c r="C32" s="3">
        <v>0</v>
      </c>
      <c r="D32" s="2">
        <v>0.74038333333333295</v>
      </c>
      <c r="E32" s="4">
        <f t="shared" si="1"/>
        <v>0.74038333333333295</v>
      </c>
      <c r="F32" t="s">
        <v>8</v>
      </c>
      <c r="G32">
        <v>8.9999999999999993E-3</v>
      </c>
      <c r="H32">
        <v>0.70736666666666603</v>
      </c>
    </row>
    <row r="33" spans="1:8" x14ac:dyDescent="0.2">
      <c r="A33" s="1">
        <v>43313.375</v>
      </c>
      <c r="B33">
        <v>1202</v>
      </c>
      <c r="C33" s="3">
        <v>0</v>
      </c>
      <c r="D33" s="2">
        <v>1.1668499999999999</v>
      </c>
      <c r="E33" s="4">
        <f t="shared" si="1"/>
        <v>1.1668499999999999</v>
      </c>
      <c r="F33" t="s">
        <v>8</v>
      </c>
      <c r="G33">
        <v>0.57416666666666671</v>
      </c>
      <c r="H33">
        <v>1.3664499999999933</v>
      </c>
    </row>
    <row r="34" spans="1:8" x14ac:dyDescent="0.2">
      <c r="A34" s="1">
        <v>43313.375</v>
      </c>
      <c r="B34">
        <v>1334</v>
      </c>
      <c r="C34" s="3">
        <v>0</v>
      </c>
      <c r="D34" s="2">
        <v>1.29266666666666</v>
      </c>
      <c r="E34" s="4">
        <f t="shared" si="1"/>
        <v>1.29266666666666</v>
      </c>
      <c r="F34" t="s">
        <v>8</v>
      </c>
      <c r="G34">
        <v>0.59989999999999999</v>
      </c>
      <c r="H34">
        <v>0.58656666666665991</v>
      </c>
    </row>
    <row r="35" spans="1:8" x14ac:dyDescent="0.2">
      <c r="A35" s="1">
        <v>43313.375</v>
      </c>
      <c r="B35">
        <v>1500</v>
      </c>
      <c r="C35" s="3">
        <v>0</v>
      </c>
      <c r="D35" s="2">
        <v>4.5999999999999999E-2</v>
      </c>
      <c r="E35" s="4">
        <f t="shared" si="1"/>
        <v>4.5999999999999999E-2</v>
      </c>
      <c r="F35" t="s">
        <v>8</v>
      </c>
      <c r="G35">
        <v>1E-4</v>
      </c>
      <c r="H35">
        <v>0.33886666666666598</v>
      </c>
    </row>
    <row r="36" spans="1:8" x14ac:dyDescent="0.2">
      <c r="A36" s="1">
        <v>43313.375</v>
      </c>
      <c r="B36">
        <v>1507</v>
      </c>
      <c r="C36" s="3">
        <v>0</v>
      </c>
      <c r="D36" s="2">
        <v>4.77938333333333</v>
      </c>
      <c r="E36" s="4">
        <f t="shared" si="1"/>
        <v>4.77938333333333</v>
      </c>
      <c r="F36" t="s">
        <v>8</v>
      </c>
      <c r="G36">
        <v>5.0000000000000002E-5</v>
      </c>
      <c r="H36">
        <v>3.0606</v>
      </c>
    </row>
    <row r="37" spans="1:8" x14ac:dyDescent="0.2">
      <c r="A37" s="1">
        <v>43313.375</v>
      </c>
      <c r="B37">
        <v>1796</v>
      </c>
      <c r="C37" s="3">
        <v>0</v>
      </c>
      <c r="D37" s="2">
        <v>0.26674999999999999</v>
      </c>
      <c r="E37" s="4">
        <f t="shared" si="1"/>
        <v>0.26674999999999999</v>
      </c>
      <c r="F37" t="s">
        <v>8</v>
      </c>
      <c r="G37">
        <v>6.5600000000000006E-2</v>
      </c>
      <c r="H37">
        <v>0.13931666666666598</v>
      </c>
    </row>
    <row r="38" spans="1:8" x14ac:dyDescent="0.2">
      <c r="A38" s="1">
        <v>43313.375</v>
      </c>
      <c r="B38">
        <v>2004</v>
      </c>
      <c r="C38" s="3">
        <v>0</v>
      </c>
      <c r="D38" s="2">
        <v>1.6271166666666601</v>
      </c>
      <c r="E38" s="4">
        <f t="shared" si="1"/>
        <v>1.6271166666666601</v>
      </c>
      <c r="F38" t="s">
        <v>8</v>
      </c>
      <c r="G38">
        <v>0.28711666666666558</v>
      </c>
      <c r="H38">
        <v>1.3965666666666645</v>
      </c>
    </row>
    <row r="39" spans="1:8" x14ac:dyDescent="0.2">
      <c r="A39" s="1">
        <v>43313.375</v>
      </c>
      <c r="B39">
        <v>2034</v>
      </c>
      <c r="C39" s="3">
        <v>0</v>
      </c>
      <c r="D39" s="2">
        <v>1.55873333333333</v>
      </c>
      <c r="E39" s="4">
        <f t="shared" si="1"/>
        <v>1.55873333333333</v>
      </c>
      <c r="F39" t="s">
        <v>8</v>
      </c>
      <c r="G39">
        <v>1E-4</v>
      </c>
      <c r="H39">
        <v>0.51708333333333301</v>
      </c>
    </row>
    <row r="40" spans="1:8" x14ac:dyDescent="0.2">
      <c r="A40" s="1">
        <v>43313.375</v>
      </c>
      <c r="B40">
        <v>2158</v>
      </c>
      <c r="C40" s="3">
        <v>0</v>
      </c>
      <c r="D40" s="2">
        <v>0.63133333333333297</v>
      </c>
      <c r="E40" s="4">
        <f t="shared" si="1"/>
        <v>0.63133333333333297</v>
      </c>
      <c r="F40" t="s">
        <v>8</v>
      </c>
      <c r="G40">
        <v>8.4999999999999995E-4</v>
      </c>
      <c r="H40">
        <v>0.67794999999999994</v>
      </c>
    </row>
    <row r="41" spans="1:8" x14ac:dyDescent="0.2">
      <c r="A41" s="1">
        <v>43313.375</v>
      </c>
      <c r="B41">
        <v>2378</v>
      </c>
      <c r="C41" s="3">
        <v>0</v>
      </c>
      <c r="D41" s="2">
        <v>1.4954000000000001</v>
      </c>
      <c r="E41" s="4">
        <f t="shared" si="1"/>
        <v>1.4954000000000001</v>
      </c>
      <c r="F41" t="s">
        <v>8</v>
      </c>
      <c r="G41">
        <v>1.4266666666666599E-2</v>
      </c>
      <c r="H41">
        <v>1.5777999999999934</v>
      </c>
    </row>
    <row r="42" spans="1:8" x14ac:dyDescent="0.2">
      <c r="A42" s="1">
        <v>43313.375</v>
      </c>
      <c r="B42">
        <v>2472</v>
      </c>
      <c r="C42" s="3">
        <v>0</v>
      </c>
      <c r="D42" s="2">
        <v>0.50138333333333296</v>
      </c>
      <c r="E42" s="4">
        <f t="shared" si="1"/>
        <v>0.50138333333333296</v>
      </c>
      <c r="F42" t="s">
        <v>8</v>
      </c>
      <c r="G42">
        <v>0.50736666666666597</v>
      </c>
      <c r="H42">
        <v>0.53508333333333413</v>
      </c>
    </row>
    <row r="43" spans="1:8" x14ac:dyDescent="0.2">
      <c r="A43" s="1">
        <v>43313.375</v>
      </c>
      <c r="B43">
        <v>2859</v>
      </c>
      <c r="C43" s="3">
        <v>0</v>
      </c>
      <c r="D43" s="2">
        <v>0.40508333333333302</v>
      </c>
      <c r="E43" s="4">
        <f t="shared" si="1"/>
        <v>0.40508333333333302</v>
      </c>
      <c r="F43" t="s">
        <v>8</v>
      </c>
      <c r="G43">
        <v>0.15366666666666601</v>
      </c>
      <c r="H43">
        <v>0.19886666666666697</v>
      </c>
    </row>
    <row r="44" spans="1:8" x14ac:dyDescent="0.2">
      <c r="A44" s="1">
        <v>43313.375</v>
      </c>
      <c r="B44">
        <v>2953</v>
      </c>
      <c r="C44" s="3">
        <v>0</v>
      </c>
      <c r="D44" s="2">
        <v>1.86771666666666</v>
      </c>
      <c r="E44" s="4">
        <f t="shared" si="1"/>
        <v>1.86771666666666</v>
      </c>
      <c r="F44" t="s">
        <v>8</v>
      </c>
      <c r="G44">
        <v>0.82873333333333299</v>
      </c>
      <c r="H44">
        <v>0.41066666666666707</v>
      </c>
    </row>
    <row r="45" spans="1:8" x14ac:dyDescent="0.2">
      <c r="A45" s="1">
        <v>43313.375</v>
      </c>
      <c r="B45">
        <v>3273</v>
      </c>
      <c r="C45" s="3">
        <v>0</v>
      </c>
      <c r="D45" s="2">
        <v>0.350783333333333</v>
      </c>
      <c r="E45" s="4">
        <f t="shared" si="1"/>
        <v>0.350783333333333</v>
      </c>
      <c r="F45" t="s">
        <v>8</v>
      </c>
      <c r="G45">
        <v>0.178916666666666</v>
      </c>
      <c r="H45">
        <v>0.63563333333333394</v>
      </c>
    </row>
    <row r="46" spans="1:8" x14ac:dyDescent="0.2">
      <c r="A46" s="1">
        <v>43313.375</v>
      </c>
      <c r="B46">
        <v>3401</v>
      </c>
      <c r="C46" s="3">
        <v>0</v>
      </c>
      <c r="D46" s="2">
        <v>0.98206666666666598</v>
      </c>
      <c r="E46" s="4">
        <f t="shared" si="1"/>
        <v>0.98206666666666598</v>
      </c>
      <c r="F46" t="s">
        <v>8</v>
      </c>
      <c r="G46">
        <v>2.1850000000000001E-2</v>
      </c>
      <c r="H46">
        <v>1.0651166666666601</v>
      </c>
    </row>
    <row r="47" spans="1:8" x14ac:dyDescent="0.2">
      <c r="A47" s="1">
        <v>43313.375</v>
      </c>
      <c r="B47">
        <v>3778</v>
      </c>
      <c r="C47" s="3">
        <v>0</v>
      </c>
      <c r="D47" s="2">
        <v>0.72670000000000001</v>
      </c>
      <c r="E47" s="4">
        <f t="shared" si="1"/>
        <v>0.72670000000000001</v>
      </c>
      <c r="F47" t="s">
        <v>8</v>
      </c>
      <c r="G47">
        <v>1E-4</v>
      </c>
      <c r="H47">
        <v>0.52991666666666604</v>
      </c>
    </row>
    <row r="48" spans="1:8" x14ac:dyDescent="0.2">
      <c r="A48" s="1">
        <v>43313.375</v>
      </c>
      <c r="B48">
        <v>3831</v>
      </c>
      <c r="C48" s="3">
        <v>0</v>
      </c>
      <c r="D48" s="2">
        <v>1.2369666666666601</v>
      </c>
      <c r="E48" s="4">
        <f t="shared" si="1"/>
        <v>1.2369666666666601</v>
      </c>
      <c r="F48" t="s">
        <v>8</v>
      </c>
      <c r="G48">
        <v>0.16944999999999999</v>
      </c>
      <c r="H48">
        <v>0.41678333333333306</v>
      </c>
    </row>
    <row r="49" spans="1:8" x14ac:dyDescent="0.2">
      <c r="A49" s="1">
        <v>43313.375</v>
      </c>
      <c r="B49">
        <v>3893</v>
      </c>
      <c r="C49" s="3">
        <v>0</v>
      </c>
      <c r="D49" s="2">
        <v>0.65668333333333295</v>
      </c>
      <c r="E49" s="4">
        <f t="shared" si="1"/>
        <v>0.65668333333333295</v>
      </c>
      <c r="F49" t="s">
        <v>8</v>
      </c>
      <c r="G49">
        <v>3.1666666666666666E-3</v>
      </c>
      <c r="H49">
        <v>0.61206666666666631</v>
      </c>
    </row>
    <row r="50" spans="1:8" x14ac:dyDescent="0.2">
      <c r="A50" s="1">
        <v>43313.375</v>
      </c>
      <c r="B50">
        <v>4213</v>
      </c>
      <c r="C50" s="3">
        <v>0</v>
      </c>
      <c r="D50" s="2">
        <v>0.46686666666666599</v>
      </c>
      <c r="E50" s="4">
        <f t="shared" si="1"/>
        <v>0.46686666666666599</v>
      </c>
      <c r="F50" t="s">
        <v>8</v>
      </c>
      <c r="G50">
        <v>4.8300000000000003E-2</v>
      </c>
      <c r="H50">
        <v>0.78771666666666595</v>
      </c>
    </row>
    <row r="51" spans="1:8" x14ac:dyDescent="0.2">
      <c r="A51" s="1">
        <v>43313.375</v>
      </c>
      <c r="B51">
        <v>4298</v>
      </c>
      <c r="C51" s="3">
        <v>0</v>
      </c>
      <c r="D51" s="2">
        <v>0.19663333333333299</v>
      </c>
      <c r="E51" s="4">
        <f t="shared" si="1"/>
        <v>0.19663333333333299</v>
      </c>
      <c r="F51" t="s">
        <v>8</v>
      </c>
      <c r="G51">
        <v>4.5083333333333302E-2</v>
      </c>
      <c r="H51">
        <v>0.3379166666666667</v>
      </c>
    </row>
    <row r="52" spans="1:8" x14ac:dyDescent="0.2">
      <c r="A52" s="1">
        <v>43313.375</v>
      </c>
      <c r="B52">
        <v>370</v>
      </c>
      <c r="C52" t="e">
        <f t="array" ref="C52">VLOOKUP(A52&amp;B52,IF({1,0},#REF!&amp;#REF!,#REF!),2,FALSE)</f>
        <v>#N/A</v>
      </c>
      <c r="D52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0.33106666666666601</v>
      </c>
      <c r="H52">
        <v>0.49803333333333394</v>
      </c>
    </row>
    <row r="53" spans="1:8" x14ac:dyDescent="0.2">
      <c r="A53" s="1">
        <v>43313.375</v>
      </c>
      <c r="B53">
        <v>2638</v>
      </c>
      <c r="C53" t="e">
        <f t="array" ref="C53">VLOOKUP(A53&amp;B53,IF({1,0},#REF!&amp;#REF!,#REF!),2,FALSE)</f>
        <v>#N/A</v>
      </c>
      <c r="D5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0.56376666666666597</v>
      </c>
      <c r="H53">
        <v>0.80573333333333397</v>
      </c>
    </row>
    <row r="54" spans="1:8" x14ac:dyDescent="0.2">
      <c r="A54" s="1">
        <v>43313.375</v>
      </c>
      <c r="B54">
        <v>3482</v>
      </c>
      <c r="C54" t="e">
        <f t="array" ref="C54">VLOOKUP(A54&amp;B54,IF({1,0},#REF!&amp;#REF!,#REF!),2,FALSE)</f>
        <v>#N/A</v>
      </c>
      <c r="D54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0.11821666666666633</v>
      </c>
      <c r="H54">
        <v>0.40039999999999965</v>
      </c>
    </row>
    <row r="55" spans="1:8" x14ac:dyDescent="0.2">
      <c r="A55" s="1">
        <v>43313.375</v>
      </c>
      <c r="B55">
        <v>3723</v>
      </c>
      <c r="C55" t="e">
        <f t="array" ref="C55">VLOOKUP(A55&amp;B55,IF({1,0},#REF!&amp;#REF!,#REF!),2,FALSE)</f>
        <v>#N/A</v>
      </c>
      <c r="D55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0.70391666666666597</v>
      </c>
      <c r="H55">
        <v>0.65111666666666401</v>
      </c>
    </row>
    <row r="56" spans="1:8" x14ac:dyDescent="0.2">
      <c r="A56" s="1">
        <v>43313.375</v>
      </c>
      <c r="B56">
        <v>3967</v>
      </c>
      <c r="C56" t="e">
        <f t="array" ref="C56">VLOOKUP(A56&amp;B56,IF({1,0},#REF!&amp;#REF!,#REF!),2,FALSE)</f>
        <v>#N/A</v>
      </c>
      <c r="D56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0.49973333333333297</v>
      </c>
      <c r="H56">
        <v>0.63966666666666705</v>
      </c>
    </row>
    <row r="57" spans="1:8" x14ac:dyDescent="0.2">
      <c r="A57" s="1">
        <v>43313.375</v>
      </c>
      <c r="B57">
        <v>4998</v>
      </c>
      <c r="C57" t="e">
        <f t="array" ref="C57">VLOOKUP(A57&amp;B57,IF({1,0},#REF!&amp;#REF!,#REF!),2,FALSE)</f>
        <v>#N/A</v>
      </c>
      <c r="D57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0.48401666666666598</v>
      </c>
      <c r="H57">
        <v>0.69173333333333409</v>
      </c>
    </row>
    <row r="58" spans="1:8" x14ac:dyDescent="0.2">
      <c r="A58" s="1">
        <v>43313.375</v>
      </c>
      <c r="B58">
        <v>5749</v>
      </c>
      <c r="C58" t="e">
        <f t="array" ref="C58">VLOOKUP(A58&amp;B58,IF({1,0},#REF!&amp;#REF!,#REF!),2,FALSE)</f>
        <v>#N/A</v>
      </c>
      <c r="D58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1.0333999999999985</v>
      </c>
      <c r="H58">
        <v>1.2381500000000014</v>
      </c>
    </row>
    <row r="59" spans="1:8" x14ac:dyDescent="0.2">
      <c r="A59" s="1">
        <v>43313.375</v>
      </c>
      <c r="B59">
        <v>6248</v>
      </c>
      <c r="C59" t="e">
        <f t="array" ref="C59">VLOOKUP(A59&amp;B59,IF({1,0},#REF!&amp;#REF!,#REF!),2,FALSE)</f>
        <v>#N/A</v>
      </c>
      <c r="D59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0.43335000000000001</v>
      </c>
      <c r="H59">
        <v>1.21518333333333</v>
      </c>
    </row>
    <row r="60" spans="1:8" x14ac:dyDescent="0.2">
      <c r="A60" s="1">
        <v>43313.375</v>
      </c>
      <c r="B60">
        <v>6691</v>
      </c>
      <c r="C60" t="e">
        <f t="array" ref="C60">VLOOKUP(A60&amp;B60,IF({1,0},#REF!&amp;#REF!,#REF!),2,FALSE)</f>
        <v>#N/A</v>
      </c>
      <c r="D60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1.9283333333333336E-2</v>
      </c>
      <c r="H60">
        <v>0.80804999999999971</v>
      </c>
    </row>
    <row r="61" spans="1:8" x14ac:dyDescent="0.2">
      <c r="A61" s="1">
        <v>43313.375</v>
      </c>
      <c r="B61">
        <v>7024</v>
      </c>
      <c r="C61" t="e">
        <f t="array" ref="C61">VLOOKUP(A61&amp;B61,IF({1,0},#REF!&amp;#REF!,#REF!),2,FALSE)</f>
        <v>#N/A</v>
      </c>
      <c r="D61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0.82533333333333303</v>
      </c>
      <c r="H61">
        <v>0.91354999999999698</v>
      </c>
    </row>
    <row r="62" spans="1:8" x14ac:dyDescent="0.2">
      <c r="A62" s="1">
        <v>43313.375</v>
      </c>
      <c r="B62">
        <v>7875</v>
      </c>
      <c r="C62" t="e">
        <f t="array" ref="C62">VLOOKUP(A62&amp;B62,IF({1,0},#REF!&amp;#REF!,#REF!),2,FALSE)</f>
        <v>#N/A</v>
      </c>
      <c r="D62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0.4967999999999993</v>
      </c>
      <c r="H62">
        <v>0.36195000000000072</v>
      </c>
    </row>
    <row r="63" spans="1:8" x14ac:dyDescent="0.2">
      <c r="A63" s="1">
        <v>43313.375</v>
      </c>
      <c r="B63">
        <v>8236</v>
      </c>
      <c r="C63" t="e">
        <f t="array" ref="C63">VLOOKUP(A63&amp;B63,IF({1,0},#REF!&amp;#REF!,#REF!),2,FALSE)</f>
        <v>#N/A</v>
      </c>
      <c r="D6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0.6237333333333327</v>
      </c>
      <c r="H63">
        <v>0.34018333333333328</v>
      </c>
    </row>
    <row r="64" spans="1:8" x14ac:dyDescent="0.2">
      <c r="A64" s="1">
        <v>43313.375</v>
      </c>
      <c r="B64">
        <v>8645</v>
      </c>
      <c r="C64" t="e">
        <f t="array" ref="C64">VLOOKUP(A64&amp;B64,IF({1,0},#REF!&amp;#REF!,#REF!),2,FALSE)</f>
        <v>#N/A</v>
      </c>
      <c r="D64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0.2117999999999996</v>
      </c>
      <c r="H64">
        <v>0.1460500000000004</v>
      </c>
    </row>
    <row r="65" spans="1:5" x14ac:dyDescent="0.2">
      <c r="A65" s="1"/>
      <c r="E65"/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15D9-E1E5-0D4D-8A46-E327065817A5}">
  <dimension ref="A1:H17111"/>
  <sheetViews>
    <sheetView topLeftCell="A35" zoomScale="173" workbookViewId="0">
      <selection activeCell="G50" sqref="G50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43313.416666666664</v>
      </c>
      <c r="B2">
        <v>252</v>
      </c>
      <c r="C2" s="3">
        <v>1.81961666666666</v>
      </c>
      <c r="D2" s="2">
        <v>5.5421833333333304</v>
      </c>
      <c r="E2" s="4">
        <f>D2-C2</f>
        <v>3.7225666666666704</v>
      </c>
      <c r="F2" t="s">
        <v>6</v>
      </c>
      <c r="G2">
        <v>1E-4</v>
      </c>
      <c r="H2">
        <v>5.5421833333333304</v>
      </c>
    </row>
    <row r="3" spans="1:8" x14ac:dyDescent="0.2">
      <c r="A3" s="1">
        <v>43313.416666666664</v>
      </c>
      <c r="B3">
        <v>379</v>
      </c>
      <c r="C3" s="3">
        <v>3.0068000000000001</v>
      </c>
      <c r="D3" s="2">
        <v>2.2563</v>
      </c>
      <c r="E3" s="4">
        <f t="shared" ref="E3:E21" si="0">D3-C3</f>
        <v>-0.75050000000000017</v>
      </c>
      <c r="F3" t="s">
        <v>6</v>
      </c>
      <c r="G3">
        <v>1.3347999999999964</v>
      </c>
      <c r="H3">
        <v>0.92150000000000354</v>
      </c>
    </row>
    <row r="4" spans="1:8" x14ac:dyDescent="0.2">
      <c r="A4" s="1">
        <v>43313.416666666664</v>
      </c>
      <c r="B4">
        <v>434</v>
      </c>
      <c r="C4" s="3">
        <v>4.2467833333333296</v>
      </c>
      <c r="D4" s="2">
        <v>3.1685500000000002</v>
      </c>
      <c r="E4" s="4">
        <f t="shared" si="0"/>
        <v>-1.0782333333333294</v>
      </c>
      <c r="F4" t="s">
        <v>6</v>
      </c>
      <c r="G4">
        <v>2.1155166666666601</v>
      </c>
      <c r="H4">
        <v>1.0530333333333401</v>
      </c>
    </row>
    <row r="5" spans="1:8" x14ac:dyDescent="0.2">
      <c r="A5" s="1">
        <v>43313.416666666664</v>
      </c>
      <c r="B5">
        <v>1718</v>
      </c>
      <c r="C5" s="3">
        <v>2.1529833333333301</v>
      </c>
      <c r="D5" s="2">
        <v>4.7110000000000003</v>
      </c>
      <c r="E5" s="4">
        <f t="shared" si="0"/>
        <v>2.5580166666666702</v>
      </c>
      <c r="F5" t="s">
        <v>6</v>
      </c>
      <c r="G5">
        <v>1E-4</v>
      </c>
      <c r="H5">
        <v>4.7110000000000003</v>
      </c>
    </row>
    <row r="6" spans="1:8" x14ac:dyDescent="0.2">
      <c r="A6" s="1">
        <v>43313.416666666664</v>
      </c>
      <c r="B6">
        <v>1792</v>
      </c>
      <c r="C6" s="3">
        <v>2.2179166666666599</v>
      </c>
      <c r="D6" s="2">
        <v>1.5809500000000001</v>
      </c>
      <c r="E6" s="4">
        <f t="shared" si="0"/>
        <v>-0.6369666666666598</v>
      </c>
      <c r="F6" t="s">
        <v>6</v>
      </c>
      <c r="G6">
        <v>1E-4</v>
      </c>
      <c r="H6">
        <v>1.5809500000000001</v>
      </c>
    </row>
    <row r="7" spans="1:8" x14ac:dyDescent="0.2">
      <c r="A7" s="1">
        <v>43313.416666666664</v>
      </c>
      <c r="B7">
        <v>2925</v>
      </c>
      <c r="C7" s="3">
        <v>2.3409166666666601</v>
      </c>
      <c r="D7" s="2">
        <v>2.6859333333333302</v>
      </c>
      <c r="E7" s="4">
        <f t="shared" si="0"/>
        <v>0.34501666666667008</v>
      </c>
      <c r="F7" t="s">
        <v>6</v>
      </c>
      <c r="G7">
        <v>1E-4</v>
      </c>
      <c r="H7">
        <v>2.6859333333333302</v>
      </c>
    </row>
    <row r="8" spans="1:8" x14ac:dyDescent="0.2">
      <c r="A8" s="1">
        <v>43313.416666666664</v>
      </c>
      <c r="B8">
        <v>3649</v>
      </c>
      <c r="C8" s="3">
        <v>3.71515</v>
      </c>
      <c r="D8" s="2">
        <v>1.1912833333333299</v>
      </c>
      <c r="E8" s="4">
        <f t="shared" si="0"/>
        <v>-2.5238666666666703</v>
      </c>
      <c r="F8" t="s">
        <v>6</v>
      </c>
      <c r="G8">
        <v>1.005E-2</v>
      </c>
      <c r="H8">
        <v>1.18123333333333</v>
      </c>
    </row>
    <row r="9" spans="1:8" x14ac:dyDescent="0.2">
      <c r="A9" s="1">
        <v>43313.416666666664</v>
      </c>
      <c r="B9">
        <v>4357</v>
      </c>
      <c r="C9" s="3">
        <v>1.7891666666666599</v>
      </c>
      <c r="D9" s="2">
        <v>1.53656666666666</v>
      </c>
      <c r="E9" s="4">
        <f t="shared" si="0"/>
        <v>-0.25259999999999994</v>
      </c>
      <c r="F9" t="s">
        <v>6</v>
      </c>
      <c r="G9">
        <v>0.90254999999999996</v>
      </c>
      <c r="H9">
        <v>0.63401666666666001</v>
      </c>
    </row>
    <row r="10" spans="1:8" x14ac:dyDescent="0.2">
      <c r="A10" s="1">
        <v>43313.416666666664</v>
      </c>
      <c r="B10">
        <v>4874</v>
      </c>
      <c r="C10" s="3">
        <v>1.7779499999999999</v>
      </c>
      <c r="D10" s="2">
        <v>2.36418333333333</v>
      </c>
      <c r="E10" s="4">
        <f t="shared" si="0"/>
        <v>0.58623333333333005</v>
      </c>
      <c r="F10" t="s">
        <v>6</v>
      </c>
      <c r="G10">
        <v>1.2596833333333268</v>
      </c>
      <c r="H10">
        <v>1.1045000000000031</v>
      </c>
    </row>
    <row r="11" spans="1:8" x14ac:dyDescent="0.2">
      <c r="A11" s="1">
        <v>43313.416666666664</v>
      </c>
      <c r="B11">
        <v>5035</v>
      </c>
      <c r="C11" s="3">
        <v>0.94110000000000005</v>
      </c>
      <c r="D11" s="2">
        <v>1.71586666666666</v>
      </c>
      <c r="E11" s="4">
        <f t="shared" si="0"/>
        <v>0.77476666666665994</v>
      </c>
      <c r="F11" t="s">
        <v>6</v>
      </c>
      <c r="G11">
        <v>1E-4</v>
      </c>
      <c r="H11">
        <v>1.71586666666666</v>
      </c>
    </row>
    <row r="12" spans="1:8" x14ac:dyDescent="0.2">
      <c r="A12" s="1">
        <v>43313.416666666664</v>
      </c>
      <c r="B12">
        <v>93</v>
      </c>
      <c r="C12" s="3">
        <v>2.3670833333333299</v>
      </c>
      <c r="D12" s="2">
        <v>0.37895000000000001</v>
      </c>
      <c r="E12" s="4">
        <f t="shared" si="0"/>
        <v>-1.9881333333333298</v>
      </c>
      <c r="F12" t="s">
        <v>7</v>
      </c>
      <c r="G12">
        <v>8.9999999999999998E-4</v>
      </c>
      <c r="H12">
        <v>0.37805</v>
      </c>
    </row>
    <row r="13" spans="1:8" x14ac:dyDescent="0.2">
      <c r="A13" s="1">
        <v>43313.416666666664</v>
      </c>
      <c r="B13">
        <v>171</v>
      </c>
      <c r="C13" s="3">
        <v>1.38831666666666</v>
      </c>
      <c r="D13" s="2">
        <v>1.1049833333333301</v>
      </c>
      <c r="E13" s="4">
        <f t="shared" si="0"/>
        <v>-0.28333333333332988</v>
      </c>
      <c r="F13" t="s">
        <v>7</v>
      </c>
      <c r="G13">
        <v>1E-4</v>
      </c>
      <c r="H13">
        <v>1.1049833333333301</v>
      </c>
    </row>
    <row r="14" spans="1:8" x14ac:dyDescent="0.2">
      <c r="A14" s="1">
        <v>43313.416666666664</v>
      </c>
      <c r="B14">
        <v>668</v>
      </c>
      <c r="C14" s="3">
        <v>1.9977499999999999</v>
      </c>
      <c r="D14" s="2">
        <v>2.3777833333333298</v>
      </c>
      <c r="E14" s="4">
        <f t="shared" si="0"/>
        <v>0.38003333333332989</v>
      </c>
      <c r="F14" t="s">
        <v>7</v>
      </c>
      <c r="G14">
        <v>1.0404333333333267</v>
      </c>
      <c r="H14">
        <v>1.3373500000000031</v>
      </c>
    </row>
    <row r="15" spans="1:8" x14ac:dyDescent="0.2">
      <c r="A15" s="1">
        <v>43313.416666666664</v>
      </c>
      <c r="B15">
        <v>781</v>
      </c>
      <c r="C15" s="3">
        <v>1.9799500000000001</v>
      </c>
      <c r="D15" s="2">
        <v>0.47120000000000001</v>
      </c>
      <c r="E15" s="4">
        <f t="shared" si="0"/>
        <v>-1.50875</v>
      </c>
      <c r="F15" t="s">
        <v>7</v>
      </c>
      <c r="G15">
        <v>1E-4</v>
      </c>
      <c r="H15">
        <v>0.47120000000000001</v>
      </c>
    </row>
    <row r="16" spans="1:8" x14ac:dyDescent="0.2">
      <c r="A16" s="1">
        <v>43313.416666666664</v>
      </c>
      <c r="B16">
        <v>974</v>
      </c>
      <c r="C16" s="3">
        <v>2.5498833333333302</v>
      </c>
      <c r="D16" s="2">
        <v>1.39991666666666</v>
      </c>
      <c r="E16" s="4">
        <f t="shared" si="0"/>
        <v>-1.1499666666666701</v>
      </c>
      <c r="F16" t="s">
        <v>7</v>
      </c>
      <c r="G16">
        <v>0.51456666666666628</v>
      </c>
      <c r="H16">
        <v>0.88534999999999375</v>
      </c>
    </row>
    <row r="17" spans="1:8" x14ac:dyDescent="0.2">
      <c r="A17" s="1">
        <v>43313.416666666664</v>
      </c>
      <c r="B17">
        <v>1192</v>
      </c>
      <c r="C17" s="3">
        <v>1.9375500000000001</v>
      </c>
      <c r="D17" s="2">
        <v>1.52653333333333</v>
      </c>
      <c r="E17" s="4">
        <f t="shared" si="0"/>
        <v>-0.41101666666667014</v>
      </c>
      <c r="F17" t="s">
        <v>7</v>
      </c>
      <c r="G17">
        <v>0.92918333333333336</v>
      </c>
      <c r="H17">
        <v>0.59734999999999661</v>
      </c>
    </row>
    <row r="18" spans="1:8" x14ac:dyDescent="0.2">
      <c r="A18" s="1">
        <v>43313.416666666664</v>
      </c>
      <c r="B18">
        <v>1354</v>
      </c>
      <c r="C18" s="3">
        <v>2.7599833333333299</v>
      </c>
      <c r="D18" s="2">
        <v>0.317083333333333</v>
      </c>
      <c r="E18" s="4">
        <f t="shared" si="0"/>
        <v>-2.4428999999999967</v>
      </c>
      <c r="F18" t="s">
        <v>7</v>
      </c>
      <c r="G18">
        <v>5.5000000000000003E-4</v>
      </c>
      <c r="H18">
        <v>0.316533333333333</v>
      </c>
    </row>
    <row r="19" spans="1:8" x14ac:dyDescent="0.2">
      <c r="A19" s="1">
        <v>43313.416666666664</v>
      </c>
      <c r="B19">
        <v>1714</v>
      </c>
      <c r="C19" s="3">
        <v>2.6881666666666599</v>
      </c>
      <c r="D19" s="2">
        <v>1.8251333333333299</v>
      </c>
      <c r="E19" s="4">
        <f t="shared" si="0"/>
        <v>-0.86303333333332999</v>
      </c>
      <c r="F19" t="s">
        <v>7</v>
      </c>
      <c r="G19">
        <v>1.0034833333333328</v>
      </c>
      <c r="H19">
        <v>0.8216499999999971</v>
      </c>
    </row>
    <row r="20" spans="1:8" x14ac:dyDescent="0.2">
      <c r="A20" s="1">
        <v>43313.416666666664</v>
      </c>
      <c r="B20">
        <v>1800</v>
      </c>
      <c r="C20" s="3">
        <v>2.4410666666666598</v>
      </c>
      <c r="D20" s="2">
        <v>0.60836666666666595</v>
      </c>
      <c r="E20" s="4">
        <f t="shared" si="0"/>
        <v>-1.8326999999999938</v>
      </c>
      <c r="F20" t="s">
        <v>7</v>
      </c>
      <c r="G20">
        <v>1E-4</v>
      </c>
      <c r="H20">
        <v>0.60836666666666595</v>
      </c>
    </row>
    <row r="21" spans="1:8" x14ac:dyDescent="0.2">
      <c r="A21" s="1">
        <v>43313.416666666664</v>
      </c>
      <c r="B21">
        <v>2129</v>
      </c>
      <c r="C21" s="3">
        <v>1.9730333333333301</v>
      </c>
      <c r="D21" s="2">
        <v>1.58195</v>
      </c>
      <c r="E21" s="4">
        <f t="shared" si="0"/>
        <v>-0.39108333333333012</v>
      </c>
      <c r="F21" t="s">
        <v>7</v>
      </c>
      <c r="G21">
        <v>0.61209999999999998</v>
      </c>
      <c r="H21">
        <v>0.96984999999999999</v>
      </c>
    </row>
    <row r="22" spans="1:8" x14ac:dyDescent="0.2">
      <c r="A22" s="1">
        <v>43313.416666666664</v>
      </c>
      <c r="B22">
        <v>59</v>
      </c>
      <c r="C22" s="3">
        <v>0</v>
      </c>
      <c r="D22" s="2">
        <v>2.8817833333333298</v>
      </c>
      <c r="E22" s="4">
        <f t="shared" ref="E22:E64" si="1">D22-C22</f>
        <v>2.8817833333333298</v>
      </c>
      <c r="F22" t="s">
        <v>8</v>
      </c>
      <c r="G22">
        <v>0.35189999999999999</v>
      </c>
      <c r="H22">
        <v>2.5298833333333297</v>
      </c>
    </row>
    <row r="23" spans="1:8" x14ac:dyDescent="0.2">
      <c r="A23" s="1">
        <v>43313.416666666664</v>
      </c>
      <c r="B23">
        <v>86</v>
      </c>
      <c r="C23" s="3">
        <v>0</v>
      </c>
      <c r="D23" s="2">
        <v>1.7609666666666599</v>
      </c>
      <c r="E23" s="4">
        <f t="shared" si="1"/>
        <v>1.7609666666666599</v>
      </c>
      <c r="F23" t="s">
        <v>8</v>
      </c>
      <c r="G23">
        <v>2.6666666666666601E-3</v>
      </c>
      <c r="H23">
        <v>1.7582999999999933</v>
      </c>
    </row>
    <row r="24" spans="1:8" x14ac:dyDescent="0.2">
      <c r="A24" s="1">
        <v>43313.416666666664</v>
      </c>
      <c r="B24">
        <v>94</v>
      </c>
      <c r="C24" s="3">
        <v>0</v>
      </c>
      <c r="D24" s="2">
        <v>0.63055000000000005</v>
      </c>
      <c r="E24" s="4">
        <f t="shared" si="1"/>
        <v>0.63055000000000005</v>
      </c>
      <c r="F24" t="s">
        <v>8</v>
      </c>
      <c r="G24">
        <v>0.14098333333333299</v>
      </c>
      <c r="H24">
        <v>0.48956666666666704</v>
      </c>
    </row>
    <row r="25" spans="1:8" x14ac:dyDescent="0.2">
      <c r="A25" s="1">
        <v>43313.416666666664</v>
      </c>
      <c r="B25">
        <v>115</v>
      </c>
      <c r="C25" s="3">
        <v>0</v>
      </c>
      <c r="D25" s="2">
        <v>0.81216666666666604</v>
      </c>
      <c r="E25" s="4">
        <f t="shared" si="1"/>
        <v>0.81216666666666604</v>
      </c>
      <c r="F25" t="s">
        <v>8</v>
      </c>
      <c r="G25">
        <v>0.336233333333333</v>
      </c>
      <c r="H25">
        <v>0.47593333333333304</v>
      </c>
    </row>
    <row r="26" spans="1:8" x14ac:dyDescent="0.2">
      <c r="A26" s="1">
        <v>43313.416666666664</v>
      </c>
      <c r="B26">
        <v>503</v>
      </c>
      <c r="C26" s="3">
        <v>0</v>
      </c>
      <c r="D26" s="2">
        <v>1.31486666666666</v>
      </c>
      <c r="E26" s="4">
        <f t="shared" si="1"/>
        <v>1.31486666666666</v>
      </c>
      <c r="F26" t="s">
        <v>8</v>
      </c>
      <c r="G26">
        <v>0.80888333333333295</v>
      </c>
      <c r="H26">
        <v>0.50598333333332701</v>
      </c>
    </row>
    <row r="27" spans="1:8" x14ac:dyDescent="0.2">
      <c r="A27" s="1">
        <v>43313.416666666664</v>
      </c>
      <c r="B27">
        <v>621</v>
      </c>
      <c r="C27" s="3">
        <v>0</v>
      </c>
      <c r="D27" s="2">
        <v>0.30664999999999998</v>
      </c>
      <c r="E27" s="4">
        <f t="shared" si="1"/>
        <v>0.30664999999999998</v>
      </c>
      <c r="F27" t="s">
        <v>8</v>
      </c>
      <c r="G27">
        <v>1E-4</v>
      </c>
      <c r="H27">
        <v>0.30664999999999998</v>
      </c>
    </row>
    <row r="28" spans="1:8" x14ac:dyDescent="0.2">
      <c r="A28" s="1">
        <v>43313.416666666664</v>
      </c>
      <c r="B28">
        <v>871</v>
      </c>
      <c r="C28" s="3">
        <v>0</v>
      </c>
      <c r="D28" s="2">
        <v>0.42648333333333299</v>
      </c>
      <c r="E28" s="4">
        <f t="shared" si="1"/>
        <v>0.42648333333333299</v>
      </c>
      <c r="F28" t="s">
        <v>8</v>
      </c>
      <c r="G28">
        <v>3.9E-2</v>
      </c>
      <c r="H28">
        <v>0.38748333333333301</v>
      </c>
    </row>
    <row r="29" spans="1:8" x14ac:dyDescent="0.2">
      <c r="A29" s="1">
        <v>43313.416666666664</v>
      </c>
      <c r="B29">
        <v>930</v>
      </c>
      <c r="C29" s="3">
        <v>0</v>
      </c>
      <c r="D29" s="2">
        <v>1.2181</v>
      </c>
      <c r="E29" s="4">
        <f t="shared" si="1"/>
        <v>1.2181</v>
      </c>
      <c r="F29" t="s">
        <v>8</v>
      </c>
      <c r="G29">
        <v>0.74658333333333304</v>
      </c>
      <c r="H29">
        <v>0.47151666666666692</v>
      </c>
    </row>
    <row r="30" spans="1:8" x14ac:dyDescent="0.2">
      <c r="A30" s="1">
        <v>43313.416666666664</v>
      </c>
      <c r="B30">
        <v>946</v>
      </c>
      <c r="C30" s="3">
        <v>0</v>
      </c>
      <c r="D30" s="2">
        <v>0.33505000000000001</v>
      </c>
      <c r="E30" s="4">
        <f t="shared" si="1"/>
        <v>0.33505000000000001</v>
      </c>
      <c r="F30" t="s">
        <v>8</v>
      </c>
      <c r="G30">
        <v>1E-4</v>
      </c>
      <c r="H30">
        <v>0.33505000000000001</v>
      </c>
    </row>
    <row r="31" spans="1:8" x14ac:dyDescent="0.2">
      <c r="A31" s="1">
        <v>43313.416666666664</v>
      </c>
      <c r="B31">
        <v>994</v>
      </c>
      <c r="C31" s="3">
        <v>0</v>
      </c>
      <c r="D31" s="2">
        <v>0.33646666666666603</v>
      </c>
      <c r="E31" s="4">
        <f t="shared" si="1"/>
        <v>0.33646666666666603</v>
      </c>
      <c r="F31" t="s">
        <v>8</v>
      </c>
      <c r="G31">
        <v>5.0000000000000001E-3</v>
      </c>
      <c r="H31">
        <v>0.33146666666666602</v>
      </c>
    </row>
    <row r="32" spans="1:8" x14ac:dyDescent="0.2">
      <c r="A32" s="1">
        <v>43313.416666666664</v>
      </c>
      <c r="B32">
        <v>1086</v>
      </c>
      <c r="C32" s="3">
        <v>0</v>
      </c>
      <c r="D32" s="2">
        <v>0.64229999999999998</v>
      </c>
      <c r="E32" s="4">
        <f t="shared" si="1"/>
        <v>0.64229999999999998</v>
      </c>
      <c r="F32" t="s">
        <v>8</v>
      </c>
      <c r="G32">
        <v>8.8333333333333305E-2</v>
      </c>
      <c r="H32">
        <v>0.55396666666666672</v>
      </c>
    </row>
    <row r="33" spans="1:8" x14ac:dyDescent="0.2">
      <c r="A33" s="1">
        <v>43313.416666666664</v>
      </c>
      <c r="B33">
        <v>1202</v>
      </c>
      <c r="C33" s="3">
        <v>0</v>
      </c>
      <c r="D33" s="2">
        <v>2.1269833333333299</v>
      </c>
      <c r="E33" s="4">
        <f t="shared" si="1"/>
        <v>2.1269833333333299</v>
      </c>
      <c r="F33" t="s">
        <v>8</v>
      </c>
      <c r="G33">
        <v>0.661266666666666</v>
      </c>
      <c r="H33">
        <v>1.4657166666666639</v>
      </c>
    </row>
    <row r="34" spans="1:8" x14ac:dyDescent="0.2">
      <c r="A34" s="1">
        <v>43313.416666666664</v>
      </c>
      <c r="B34">
        <v>1334</v>
      </c>
      <c r="C34" s="3">
        <v>0</v>
      </c>
      <c r="D34" s="2">
        <v>0.93076666666666596</v>
      </c>
      <c r="E34" s="4">
        <f t="shared" si="1"/>
        <v>0.93076666666666596</v>
      </c>
      <c r="F34" t="s">
        <v>8</v>
      </c>
      <c r="G34">
        <v>0.45226666666666598</v>
      </c>
      <c r="H34">
        <v>0.47849999999999998</v>
      </c>
    </row>
    <row r="35" spans="1:8" x14ac:dyDescent="0.2">
      <c r="A35" s="1">
        <v>43313.416666666664</v>
      </c>
      <c r="B35">
        <v>1500</v>
      </c>
      <c r="C35" s="3">
        <v>0</v>
      </c>
      <c r="D35" s="2">
        <v>4.5999999999999999E-2</v>
      </c>
      <c r="E35" s="4">
        <f t="shared" si="1"/>
        <v>4.5999999999999999E-2</v>
      </c>
      <c r="F35" t="s">
        <v>8</v>
      </c>
      <c r="G35">
        <v>1E-4</v>
      </c>
      <c r="H35">
        <v>4.5999999999999999E-2</v>
      </c>
    </row>
    <row r="36" spans="1:8" x14ac:dyDescent="0.2">
      <c r="A36" s="1">
        <v>43313.416666666664</v>
      </c>
      <c r="B36">
        <v>1507</v>
      </c>
      <c r="C36" s="3">
        <v>0</v>
      </c>
      <c r="D36" s="2">
        <v>5.1561166666666596</v>
      </c>
      <c r="E36" s="4">
        <f t="shared" si="1"/>
        <v>5.1561166666666596</v>
      </c>
      <c r="F36" t="s">
        <v>8</v>
      </c>
      <c r="G36">
        <v>1.7214833333333299</v>
      </c>
      <c r="H36">
        <v>3.4346333333333297</v>
      </c>
    </row>
    <row r="37" spans="1:8" x14ac:dyDescent="0.2">
      <c r="A37" s="1">
        <v>43313.416666666664</v>
      </c>
      <c r="B37">
        <v>1796</v>
      </c>
      <c r="C37" s="3">
        <v>0</v>
      </c>
      <c r="D37" s="2">
        <v>9.2316666666666602E-2</v>
      </c>
      <c r="E37" s="4">
        <f t="shared" si="1"/>
        <v>9.2316666666666602E-2</v>
      </c>
      <c r="F37" t="s">
        <v>8</v>
      </c>
      <c r="G37">
        <v>1E-4</v>
      </c>
      <c r="H37">
        <v>9.2316666666666602E-2</v>
      </c>
    </row>
    <row r="38" spans="1:8" x14ac:dyDescent="0.2">
      <c r="A38" s="1">
        <v>43313.416666666664</v>
      </c>
      <c r="B38">
        <v>2004</v>
      </c>
      <c r="C38" s="3">
        <v>0</v>
      </c>
      <c r="D38" s="2">
        <v>1.6273166666666601</v>
      </c>
      <c r="E38" s="4">
        <f t="shared" si="1"/>
        <v>1.6273166666666601</v>
      </c>
      <c r="F38" t="s">
        <v>8</v>
      </c>
      <c r="G38">
        <v>0.5799666666666663</v>
      </c>
      <c r="H38">
        <v>1.0473499999999938</v>
      </c>
    </row>
    <row r="39" spans="1:8" x14ac:dyDescent="0.2">
      <c r="A39" s="1">
        <v>43313.416666666664</v>
      </c>
      <c r="B39">
        <v>2034</v>
      </c>
      <c r="C39" s="3">
        <v>0</v>
      </c>
      <c r="D39" s="2">
        <v>0.79681666666666595</v>
      </c>
      <c r="E39" s="4">
        <f t="shared" si="1"/>
        <v>0.79681666666666595</v>
      </c>
      <c r="F39" t="s">
        <v>8</v>
      </c>
      <c r="G39">
        <v>0.17850000000000002</v>
      </c>
      <c r="H39">
        <v>0.61831666666666596</v>
      </c>
    </row>
    <row r="40" spans="1:8" x14ac:dyDescent="0.2">
      <c r="A40" s="1">
        <v>43313.416666666664</v>
      </c>
      <c r="B40">
        <v>2158</v>
      </c>
      <c r="C40" s="3">
        <v>0</v>
      </c>
      <c r="D40" s="2">
        <v>0.70141666666666602</v>
      </c>
      <c r="E40" s="4">
        <f t="shared" si="1"/>
        <v>0.70141666666666602</v>
      </c>
      <c r="F40" t="s">
        <v>8</v>
      </c>
      <c r="G40">
        <v>1E-4</v>
      </c>
      <c r="H40">
        <v>0.70141666666666602</v>
      </c>
    </row>
    <row r="41" spans="1:8" x14ac:dyDescent="0.2">
      <c r="A41" s="1">
        <v>43313.416666666664</v>
      </c>
      <c r="B41">
        <v>2378</v>
      </c>
      <c r="C41" s="3">
        <v>0</v>
      </c>
      <c r="D41" s="2">
        <v>1.4990333333333301</v>
      </c>
      <c r="E41" s="4">
        <f t="shared" si="1"/>
        <v>1.4990333333333301</v>
      </c>
      <c r="F41" t="s">
        <v>8</v>
      </c>
      <c r="G41">
        <v>1.3466666666666601E-2</v>
      </c>
      <c r="H41">
        <v>1.4855666666666636</v>
      </c>
    </row>
    <row r="42" spans="1:8" x14ac:dyDescent="0.2">
      <c r="A42" s="1">
        <v>43313.416666666664</v>
      </c>
      <c r="B42">
        <v>2472</v>
      </c>
      <c r="C42" s="3">
        <v>0</v>
      </c>
      <c r="D42" s="2">
        <v>1.1839500000000001</v>
      </c>
      <c r="E42" s="4">
        <f t="shared" si="1"/>
        <v>1.1839500000000001</v>
      </c>
      <c r="F42" t="s">
        <v>8</v>
      </c>
      <c r="G42">
        <v>0.59321666666666595</v>
      </c>
      <c r="H42">
        <v>0.59073333333333411</v>
      </c>
    </row>
    <row r="43" spans="1:8" x14ac:dyDescent="0.2">
      <c r="A43" s="1">
        <v>43313.416666666664</v>
      </c>
      <c r="B43">
        <v>2859</v>
      </c>
      <c r="C43" s="3">
        <v>0</v>
      </c>
      <c r="D43" s="2">
        <v>0.50788333333333302</v>
      </c>
      <c r="E43" s="4">
        <f t="shared" si="1"/>
        <v>0.50788333333333302</v>
      </c>
      <c r="F43" t="s">
        <v>8</v>
      </c>
      <c r="G43">
        <v>0.26950000000000002</v>
      </c>
      <c r="H43">
        <v>0.238383333333333</v>
      </c>
    </row>
    <row r="44" spans="1:8" x14ac:dyDescent="0.2">
      <c r="A44" s="1">
        <v>43313.416666666664</v>
      </c>
      <c r="B44">
        <v>2953</v>
      </c>
      <c r="C44" s="3">
        <v>0</v>
      </c>
      <c r="D44" s="2">
        <v>1.8365499999999999</v>
      </c>
      <c r="E44" s="4">
        <f t="shared" si="1"/>
        <v>1.8365499999999999</v>
      </c>
      <c r="F44" t="s">
        <v>8</v>
      </c>
      <c r="G44">
        <v>0.88805000000000001</v>
      </c>
      <c r="H44">
        <v>0.9484999999999999</v>
      </c>
    </row>
    <row r="45" spans="1:8" x14ac:dyDescent="0.2">
      <c r="A45" s="1">
        <v>43313.416666666664</v>
      </c>
      <c r="B45">
        <v>3273</v>
      </c>
      <c r="C45" s="3">
        <v>0</v>
      </c>
      <c r="D45" s="2">
        <v>0.220983333333333</v>
      </c>
      <c r="E45" s="4">
        <f t="shared" si="1"/>
        <v>0.220983333333333</v>
      </c>
      <c r="F45" t="s">
        <v>8</v>
      </c>
      <c r="G45">
        <v>1E-4</v>
      </c>
      <c r="H45">
        <v>0.220983333333333</v>
      </c>
    </row>
    <row r="46" spans="1:8" x14ac:dyDescent="0.2">
      <c r="A46" s="1">
        <v>43313.416666666664</v>
      </c>
      <c r="B46">
        <v>3401</v>
      </c>
      <c r="C46" s="3">
        <v>0</v>
      </c>
      <c r="D46" s="2">
        <v>1.5485833333333301</v>
      </c>
      <c r="E46" s="4">
        <f t="shared" si="1"/>
        <v>1.5485833333333301</v>
      </c>
      <c r="F46" t="s">
        <v>8</v>
      </c>
      <c r="G46">
        <v>2.1700000000000001E-2</v>
      </c>
      <c r="H46">
        <v>1.52688333333333</v>
      </c>
    </row>
    <row r="47" spans="1:8" x14ac:dyDescent="0.2">
      <c r="A47" s="1">
        <v>43313.416666666664</v>
      </c>
      <c r="B47">
        <v>3778</v>
      </c>
      <c r="C47" s="3">
        <v>0</v>
      </c>
      <c r="D47" s="2">
        <v>1.15353333333333</v>
      </c>
      <c r="E47" s="4">
        <f t="shared" si="1"/>
        <v>1.15353333333333</v>
      </c>
      <c r="F47" t="s">
        <v>8</v>
      </c>
      <c r="G47">
        <v>0.56068333333333298</v>
      </c>
      <c r="H47">
        <v>0.59284999999999699</v>
      </c>
    </row>
    <row r="48" spans="1:8" x14ac:dyDescent="0.2">
      <c r="A48" s="1">
        <v>43313.416666666664</v>
      </c>
      <c r="B48">
        <v>3831</v>
      </c>
      <c r="C48" s="3">
        <v>0</v>
      </c>
      <c r="D48" s="2">
        <v>1.9250833333333299</v>
      </c>
      <c r="E48" s="4">
        <f t="shared" si="1"/>
        <v>1.9250833333333299</v>
      </c>
      <c r="F48" t="s">
        <v>8</v>
      </c>
      <c r="G48">
        <v>1.3053333333333299</v>
      </c>
      <c r="H48">
        <v>0.61975000000000002</v>
      </c>
    </row>
    <row r="49" spans="1:8" x14ac:dyDescent="0.2">
      <c r="A49" s="1">
        <v>43313.416666666664</v>
      </c>
      <c r="B49">
        <v>3893</v>
      </c>
      <c r="C49" s="3">
        <v>0</v>
      </c>
      <c r="D49" s="2">
        <v>1.18231666666666</v>
      </c>
      <c r="E49" s="4">
        <f t="shared" si="1"/>
        <v>1.18231666666666</v>
      </c>
      <c r="F49" t="s">
        <v>8</v>
      </c>
      <c r="G49">
        <v>0.50598333333333301</v>
      </c>
      <c r="H49">
        <v>0.67633333333332701</v>
      </c>
    </row>
    <row r="50" spans="1:8" x14ac:dyDescent="0.2">
      <c r="A50" s="1">
        <v>43313.416666666664</v>
      </c>
      <c r="B50">
        <v>4213</v>
      </c>
      <c r="C50" s="3">
        <v>0</v>
      </c>
      <c r="D50" s="2">
        <v>0.41713333333333302</v>
      </c>
      <c r="E50" s="4">
        <f t="shared" si="1"/>
        <v>0.41713333333333302</v>
      </c>
      <c r="F50" t="s">
        <v>8</v>
      </c>
      <c r="G50">
        <v>1E-4</v>
      </c>
      <c r="H50">
        <v>0.41713333333333302</v>
      </c>
    </row>
    <row r="51" spans="1:8" x14ac:dyDescent="0.2">
      <c r="A51" s="1">
        <v>43313.416666666664</v>
      </c>
      <c r="B51">
        <v>4298</v>
      </c>
      <c r="C51" s="3">
        <v>0</v>
      </c>
      <c r="D51" s="2">
        <v>0.22013333333333299</v>
      </c>
      <c r="E51" s="4">
        <f t="shared" si="1"/>
        <v>0.22013333333333299</v>
      </c>
      <c r="F51" t="s">
        <v>8</v>
      </c>
      <c r="G51">
        <v>1E-4</v>
      </c>
      <c r="H51">
        <v>0.22013333333333299</v>
      </c>
    </row>
    <row r="52" spans="1:8" x14ac:dyDescent="0.2">
      <c r="A52" s="1">
        <v>43313.416666666664</v>
      </c>
      <c r="B52">
        <v>370</v>
      </c>
      <c r="C52" t="e">
        <f t="array" ref="C52">VLOOKUP(A52&amp;B52,IF({1,0},#REF!&amp;#REF!,#REF!),2,FALSE)</f>
        <v>#N/A</v>
      </c>
      <c r="D52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1.310483333333333</v>
      </c>
      <c r="H52">
        <v>0.72588333333332722</v>
      </c>
    </row>
    <row r="53" spans="1:8" x14ac:dyDescent="0.2">
      <c r="A53" s="1">
        <v>43313.416666666664</v>
      </c>
      <c r="B53">
        <v>2638</v>
      </c>
      <c r="C53" t="e">
        <f t="array" ref="C53">VLOOKUP(A53&amp;B53,IF({1,0},#REF!&amp;#REF!,#REF!),2,FALSE)</f>
        <v>#N/A</v>
      </c>
      <c r="D5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1.1296333333333299</v>
      </c>
      <c r="H53">
        <v>0.85570000000000013</v>
      </c>
    </row>
    <row r="54" spans="1:8" x14ac:dyDescent="0.2">
      <c r="A54" s="1">
        <v>43313.416666666664</v>
      </c>
      <c r="B54">
        <v>3482</v>
      </c>
      <c r="C54" t="e">
        <f t="array" ref="C54">VLOOKUP(A54&amp;B54,IF({1,0},#REF!&amp;#REF!,#REF!),2,FALSE)</f>
        <v>#N/A</v>
      </c>
      <c r="D54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0.24663333333333301</v>
      </c>
      <c r="H54">
        <v>0.39808333333333301</v>
      </c>
    </row>
    <row r="55" spans="1:8" x14ac:dyDescent="0.2">
      <c r="A55" s="1">
        <v>43313.416666666664</v>
      </c>
      <c r="B55">
        <v>3723</v>
      </c>
      <c r="C55" t="e">
        <f t="array" ref="C55">VLOOKUP(A55&amp;B55,IF({1,0},#REF!&amp;#REF!,#REF!),2,FALSE)</f>
        <v>#N/A</v>
      </c>
      <c r="D55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0.8927666666666666</v>
      </c>
      <c r="H55">
        <v>0.71646666666666337</v>
      </c>
    </row>
    <row r="56" spans="1:8" x14ac:dyDescent="0.2">
      <c r="A56" s="1">
        <v>43313.416666666664</v>
      </c>
      <c r="B56">
        <v>3967</v>
      </c>
      <c r="C56" t="e">
        <f t="array" ref="C56">VLOOKUP(A56&amp;B56,IF({1,0},#REF!&amp;#REF!,#REF!),2,FALSE)</f>
        <v>#N/A</v>
      </c>
      <c r="D56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1.0864833333333299</v>
      </c>
      <c r="H56">
        <v>0.80835000000000012</v>
      </c>
    </row>
    <row r="57" spans="1:8" x14ac:dyDescent="0.2">
      <c r="A57" s="1">
        <v>43313.416666666664</v>
      </c>
      <c r="B57">
        <v>4998</v>
      </c>
      <c r="C57" t="e">
        <f t="array" ref="C57">VLOOKUP(A57&amp;B57,IF({1,0},#REF!&amp;#REF!,#REF!),2,FALSE)</f>
        <v>#N/A</v>
      </c>
      <c r="D57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1.25206666666666</v>
      </c>
      <c r="H57">
        <v>0.98838333333334005</v>
      </c>
    </row>
    <row r="58" spans="1:8" x14ac:dyDescent="0.2">
      <c r="A58" s="1">
        <v>43313.416666666664</v>
      </c>
      <c r="B58">
        <v>5749</v>
      </c>
      <c r="C58" t="e">
        <f t="array" ref="C58">VLOOKUP(A58&amp;B58,IF({1,0},#REF!&amp;#REF!,#REF!),2,FALSE)</f>
        <v>#N/A</v>
      </c>
      <c r="D58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1.4575833333333328</v>
      </c>
      <c r="H58">
        <v>0.93214999999999715</v>
      </c>
    </row>
    <row r="59" spans="1:8" x14ac:dyDescent="0.2">
      <c r="A59" s="1">
        <v>43313.416666666664</v>
      </c>
      <c r="B59">
        <v>6248</v>
      </c>
      <c r="C59" t="e">
        <f t="array" ref="C59">VLOOKUP(A59&amp;B59,IF({1,0},#REF!&amp;#REF!,#REF!),2,FALSE)</f>
        <v>#N/A</v>
      </c>
      <c r="D59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0.8115</v>
      </c>
      <c r="H59">
        <v>0.72220000000000006</v>
      </c>
    </row>
    <row r="60" spans="1:8" x14ac:dyDescent="0.2">
      <c r="A60" s="1">
        <v>43313.416666666664</v>
      </c>
      <c r="B60">
        <v>6691</v>
      </c>
      <c r="C60" t="e">
        <f t="array" ref="C60">VLOOKUP(A60&amp;B60,IF({1,0},#REF!&amp;#REF!,#REF!),2,FALSE)</f>
        <v>#N/A</v>
      </c>
      <c r="D60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0.81931666666666669</v>
      </c>
      <c r="H60">
        <v>0.82314999999999339</v>
      </c>
    </row>
    <row r="61" spans="1:8" x14ac:dyDescent="0.2">
      <c r="A61" s="1">
        <v>43313.416666666664</v>
      </c>
      <c r="B61">
        <v>7024</v>
      </c>
      <c r="C61" t="e">
        <f t="array" ref="C61">VLOOKUP(A61&amp;B61,IF({1,0},#REF!&amp;#REF!,#REF!),2,FALSE)</f>
        <v>#N/A</v>
      </c>
      <c r="D61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0.79566666666666674</v>
      </c>
      <c r="H61">
        <v>0.49566666666666315</v>
      </c>
    </row>
    <row r="62" spans="1:8" x14ac:dyDescent="0.2">
      <c r="A62" s="1">
        <v>43313.416666666664</v>
      </c>
      <c r="B62">
        <v>7875</v>
      </c>
      <c r="C62" t="e">
        <f t="array" ref="C62">VLOOKUP(A62&amp;B62,IF({1,0},#REF!&amp;#REF!,#REF!),2,FALSE)</f>
        <v>#N/A</v>
      </c>
      <c r="D62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0.49343333333333333</v>
      </c>
      <c r="H62">
        <v>0.31629999999999964</v>
      </c>
    </row>
    <row r="63" spans="1:8" x14ac:dyDescent="0.2">
      <c r="A63" s="1">
        <v>43313.416666666664</v>
      </c>
      <c r="B63">
        <v>8236</v>
      </c>
      <c r="C63" t="e">
        <f t="array" ref="C63">VLOOKUP(A63&amp;B63,IF({1,0},#REF!&amp;#REF!,#REF!),2,FALSE)</f>
        <v>#N/A</v>
      </c>
      <c r="D6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0.39644999999999936</v>
      </c>
      <c r="H63">
        <v>0.34945000000000065</v>
      </c>
    </row>
    <row r="64" spans="1:8" x14ac:dyDescent="0.2">
      <c r="A64" s="1">
        <v>43313.416666666664</v>
      </c>
      <c r="B64">
        <v>8645</v>
      </c>
      <c r="C64" t="e">
        <f t="array" ref="C64">VLOOKUP(A64&amp;B64,IF({1,0},#REF!&amp;#REF!,#REF!),2,FALSE)</f>
        <v>#N/A</v>
      </c>
      <c r="D64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0.15140000000000001</v>
      </c>
      <c r="H64">
        <v>0.17923333333333299</v>
      </c>
    </row>
    <row r="65" spans="1:5" x14ac:dyDescent="0.2">
      <c r="A65" s="1"/>
      <c r="E65"/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A551D-DCCC-1A42-BCED-CE4D21B714D4}">
  <dimension ref="A1:H17111"/>
  <sheetViews>
    <sheetView topLeftCell="A30" zoomScale="173" workbookViewId="0">
      <selection activeCell="E1" sqref="E1:E1048576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43313.458333333336</v>
      </c>
      <c r="B2">
        <v>252</v>
      </c>
      <c r="C2" s="3">
        <v>2.5005999999999999</v>
      </c>
      <c r="D2" s="2">
        <v>7.3112833333333302</v>
      </c>
      <c r="E2" s="4">
        <f>D2-C2</f>
        <v>4.8106833333333299</v>
      </c>
      <c r="F2" t="s">
        <v>6</v>
      </c>
      <c r="G2">
        <v>1E-4</v>
      </c>
      <c r="H2">
        <v>7.3112833333333302</v>
      </c>
    </row>
    <row r="3" spans="1:8" x14ac:dyDescent="0.2">
      <c r="A3" s="1">
        <v>43313.458333333336</v>
      </c>
      <c r="B3">
        <v>379</v>
      </c>
      <c r="C3" s="3">
        <v>3.7846166666666599</v>
      </c>
      <c r="D3" s="2">
        <v>3.3572166666666599</v>
      </c>
      <c r="E3" s="4">
        <f t="shared" ref="E3:E21" si="0">D3-C3</f>
        <v>-0.4274</v>
      </c>
      <c r="F3" t="s">
        <v>6</v>
      </c>
      <c r="G3">
        <v>2.4286833333333298</v>
      </c>
      <c r="H3">
        <v>0.9285333333333301</v>
      </c>
    </row>
    <row r="4" spans="1:8" x14ac:dyDescent="0.2">
      <c r="A4" s="1">
        <v>43313.458333333336</v>
      </c>
      <c r="B4">
        <v>434</v>
      </c>
      <c r="C4" s="3">
        <v>4.1024333333333303</v>
      </c>
      <c r="D4" s="2">
        <v>4.87736666666666</v>
      </c>
      <c r="E4" s="4">
        <f t="shared" si="0"/>
        <v>0.7749333333333297</v>
      </c>
      <c r="F4" t="s">
        <v>6</v>
      </c>
      <c r="G4">
        <v>3.6638500000000001</v>
      </c>
      <c r="H4">
        <v>1.2135166666666599</v>
      </c>
    </row>
    <row r="5" spans="1:8" x14ac:dyDescent="0.2">
      <c r="A5" s="1">
        <v>43313.458333333336</v>
      </c>
      <c r="B5">
        <v>1718</v>
      </c>
      <c r="C5" s="3">
        <v>2.96671666666666</v>
      </c>
      <c r="D5" s="2">
        <v>3.5266999999999999</v>
      </c>
      <c r="E5" s="4">
        <f t="shared" si="0"/>
        <v>0.55998333333333994</v>
      </c>
      <c r="F5" t="s">
        <v>6</v>
      </c>
      <c r="G5">
        <v>1E-4</v>
      </c>
      <c r="H5">
        <v>3.5266999999999999</v>
      </c>
    </row>
    <row r="6" spans="1:8" x14ac:dyDescent="0.2">
      <c r="A6" s="1">
        <v>43313.458333333336</v>
      </c>
      <c r="B6">
        <v>1792</v>
      </c>
      <c r="C6" s="3">
        <v>3.0140666666666598</v>
      </c>
      <c r="D6" s="2">
        <v>3.0273833333333302</v>
      </c>
      <c r="E6" s="4">
        <f t="shared" si="0"/>
        <v>1.3316666666670418E-2</v>
      </c>
      <c r="F6" t="s">
        <v>6</v>
      </c>
      <c r="G6">
        <v>1E-4</v>
      </c>
      <c r="H6">
        <v>3.0273833333333302</v>
      </c>
    </row>
    <row r="7" spans="1:8" x14ac:dyDescent="0.2">
      <c r="A7" s="1">
        <v>43313.458333333336</v>
      </c>
      <c r="B7">
        <v>2925</v>
      </c>
      <c r="C7" s="3">
        <v>3.0175333333333301</v>
      </c>
      <c r="D7" s="2">
        <v>2.8322166666666599</v>
      </c>
      <c r="E7" s="4">
        <f t="shared" si="0"/>
        <v>-0.18531666666667013</v>
      </c>
      <c r="F7" t="s">
        <v>6</v>
      </c>
      <c r="G7" s="6">
        <v>1E-4</v>
      </c>
      <c r="H7">
        <v>2.8322166666666599</v>
      </c>
    </row>
    <row r="8" spans="1:8" x14ac:dyDescent="0.2">
      <c r="A8" s="1">
        <v>43313.458333333336</v>
      </c>
      <c r="B8">
        <v>3649</v>
      </c>
      <c r="C8" s="3">
        <v>4.5281166666666604</v>
      </c>
      <c r="D8" s="2">
        <v>2.27705</v>
      </c>
      <c r="E8" s="4">
        <f t="shared" si="0"/>
        <v>-2.2510666666666603</v>
      </c>
      <c r="F8" t="s">
        <v>6</v>
      </c>
      <c r="G8">
        <v>1.01285</v>
      </c>
      <c r="H8">
        <v>1.2642</v>
      </c>
    </row>
    <row r="9" spans="1:8" x14ac:dyDescent="0.2">
      <c r="A9" s="1">
        <v>43313.458333333336</v>
      </c>
      <c r="B9">
        <v>4357</v>
      </c>
      <c r="C9" s="3">
        <v>2.2446000000000002</v>
      </c>
      <c r="D9" s="2">
        <v>1.73298333333333</v>
      </c>
      <c r="E9" s="4">
        <f t="shared" si="0"/>
        <v>-0.51161666666667016</v>
      </c>
      <c r="F9" t="s">
        <v>6</v>
      </c>
      <c r="G9">
        <v>1.06896666666666</v>
      </c>
      <c r="H9">
        <v>0.66401666666667003</v>
      </c>
    </row>
    <row r="10" spans="1:8" x14ac:dyDescent="0.2">
      <c r="A10" s="1">
        <v>43313.458333333336</v>
      </c>
      <c r="B10">
        <v>4874</v>
      </c>
      <c r="C10" s="3">
        <v>2.1136499999999998</v>
      </c>
      <c r="D10" s="2">
        <v>2.9510999999999998</v>
      </c>
      <c r="E10" s="4">
        <f t="shared" si="0"/>
        <v>0.83745000000000003</v>
      </c>
      <c r="F10" t="s">
        <v>6</v>
      </c>
      <c r="G10">
        <v>1.7254333333333334</v>
      </c>
      <c r="H10">
        <v>1.2256666666666665</v>
      </c>
    </row>
    <row r="11" spans="1:8" x14ac:dyDescent="0.2">
      <c r="A11" s="1">
        <v>43313.458333333336</v>
      </c>
      <c r="B11">
        <v>5035</v>
      </c>
      <c r="C11" s="3">
        <v>1.3493333333333299</v>
      </c>
      <c r="D11" s="2">
        <v>0.73045000000000004</v>
      </c>
      <c r="E11" s="4">
        <f t="shared" si="0"/>
        <v>-0.6188833333333299</v>
      </c>
      <c r="F11" t="s">
        <v>6</v>
      </c>
      <c r="G11" s="6">
        <v>1E-4</v>
      </c>
      <c r="H11">
        <v>0.73045000000000004</v>
      </c>
    </row>
    <row r="12" spans="1:8" x14ac:dyDescent="0.2">
      <c r="A12" s="1">
        <v>43313.458333333336</v>
      </c>
      <c r="B12">
        <v>93</v>
      </c>
      <c r="C12" s="3">
        <v>3.0028666666666601</v>
      </c>
      <c r="D12" s="2">
        <v>0.32905000000000001</v>
      </c>
      <c r="E12" s="4">
        <f t="shared" si="0"/>
        <v>-2.6738166666666601</v>
      </c>
      <c r="F12" t="s">
        <v>7</v>
      </c>
      <c r="G12">
        <v>3.48333333333333E-3</v>
      </c>
      <c r="H12">
        <v>0.32556666666666667</v>
      </c>
    </row>
    <row r="13" spans="1:8" x14ac:dyDescent="0.2">
      <c r="A13" s="1">
        <v>43313.458333333336</v>
      </c>
      <c r="B13">
        <v>171</v>
      </c>
      <c r="C13" s="3">
        <v>2.4293166666666601</v>
      </c>
      <c r="D13" s="2">
        <v>1.6706000000000001</v>
      </c>
      <c r="E13" s="4">
        <f t="shared" si="0"/>
        <v>-0.75871666666666004</v>
      </c>
      <c r="F13" t="s">
        <v>7</v>
      </c>
      <c r="G13" s="6">
        <v>1E-4</v>
      </c>
      <c r="H13">
        <v>1.6706000000000001</v>
      </c>
    </row>
    <row r="14" spans="1:8" x14ac:dyDescent="0.2">
      <c r="A14" s="1">
        <v>43313.458333333336</v>
      </c>
      <c r="B14">
        <v>668</v>
      </c>
      <c r="C14" s="3">
        <v>3.1059999999999999</v>
      </c>
      <c r="D14" s="2">
        <v>2.8786999999999998</v>
      </c>
      <c r="E14" s="4">
        <f t="shared" si="0"/>
        <v>-0.22730000000000006</v>
      </c>
      <c r="F14" t="s">
        <v>7</v>
      </c>
      <c r="G14">
        <v>1.52518333333333</v>
      </c>
      <c r="H14">
        <v>1.3535166666666698</v>
      </c>
    </row>
    <row r="15" spans="1:8" x14ac:dyDescent="0.2">
      <c r="A15" s="1">
        <v>43313.458333333336</v>
      </c>
      <c r="B15">
        <v>781</v>
      </c>
      <c r="C15" s="3">
        <v>2.75878333333333</v>
      </c>
      <c r="D15" s="2">
        <v>0.30163333333333298</v>
      </c>
      <c r="E15" s="4">
        <f t="shared" si="0"/>
        <v>-2.4571499999999968</v>
      </c>
      <c r="F15" t="s">
        <v>7</v>
      </c>
      <c r="G15" s="6">
        <v>1E-4</v>
      </c>
      <c r="H15">
        <v>0.30163333333333298</v>
      </c>
    </row>
    <row r="16" spans="1:8" x14ac:dyDescent="0.2">
      <c r="A16" s="1">
        <v>43313.458333333336</v>
      </c>
      <c r="B16">
        <v>974</v>
      </c>
      <c r="C16" s="3">
        <v>3.4294500000000001</v>
      </c>
      <c r="D16" s="2">
        <v>2.0791166666666601</v>
      </c>
      <c r="E16" s="4">
        <f t="shared" si="0"/>
        <v>-1.35033333333334</v>
      </c>
      <c r="F16" t="s">
        <v>7</v>
      </c>
      <c r="G16">
        <v>1.0116999999999996</v>
      </c>
      <c r="H16">
        <v>1.0674166666666605</v>
      </c>
    </row>
    <row r="17" spans="1:8" x14ac:dyDescent="0.2">
      <c r="A17" s="1">
        <v>43313.458333333336</v>
      </c>
      <c r="B17">
        <v>1192</v>
      </c>
      <c r="C17" s="3">
        <v>2.7240666666666602</v>
      </c>
      <c r="D17" s="2">
        <v>1.71441666666666</v>
      </c>
      <c r="E17" s="4">
        <f t="shared" si="0"/>
        <v>-1.0096500000000002</v>
      </c>
      <c r="F17" t="s">
        <v>7</v>
      </c>
      <c r="G17">
        <v>1.1064166666666633</v>
      </c>
      <c r="H17">
        <v>0.60799999999999677</v>
      </c>
    </row>
    <row r="18" spans="1:8" x14ac:dyDescent="0.2">
      <c r="A18" s="1">
        <v>43313.458333333336</v>
      </c>
      <c r="B18">
        <v>1354</v>
      </c>
      <c r="C18" s="3">
        <v>3.4644666666666599</v>
      </c>
      <c r="D18" s="2">
        <v>0.29833333333333301</v>
      </c>
      <c r="E18" s="4">
        <f t="shared" si="0"/>
        <v>-3.166133333333327</v>
      </c>
      <c r="F18" t="s">
        <v>7</v>
      </c>
      <c r="G18">
        <v>1.65E-3</v>
      </c>
      <c r="H18">
        <v>0.29668333333333302</v>
      </c>
    </row>
    <row r="19" spans="1:8" x14ac:dyDescent="0.2">
      <c r="A19" s="1">
        <v>43313.458333333336</v>
      </c>
      <c r="B19">
        <v>1714</v>
      </c>
      <c r="C19" s="3">
        <v>3.1515166666666601</v>
      </c>
      <c r="D19" s="2">
        <v>3.8317333333333301</v>
      </c>
      <c r="E19" s="4">
        <f t="shared" si="0"/>
        <v>0.68021666666667002</v>
      </c>
      <c r="F19" t="s">
        <v>7</v>
      </c>
      <c r="G19">
        <v>2.69258333333332</v>
      </c>
      <c r="H19">
        <v>1.1391500000000101</v>
      </c>
    </row>
    <row r="20" spans="1:8" x14ac:dyDescent="0.2">
      <c r="A20" s="1">
        <v>43313.458333333336</v>
      </c>
      <c r="B20">
        <v>1800</v>
      </c>
      <c r="C20" s="3">
        <v>3.7726999999999999</v>
      </c>
      <c r="D20" s="2">
        <v>0.5998</v>
      </c>
      <c r="E20" s="4">
        <f t="shared" si="0"/>
        <v>-3.1728999999999998</v>
      </c>
      <c r="F20" t="s">
        <v>7</v>
      </c>
      <c r="G20" s="6">
        <v>1E-4</v>
      </c>
      <c r="H20">
        <v>0.5998</v>
      </c>
    </row>
    <row r="21" spans="1:8" x14ac:dyDescent="0.2">
      <c r="A21" s="1">
        <v>43313.458333333336</v>
      </c>
      <c r="B21">
        <v>2129</v>
      </c>
      <c r="C21" s="3">
        <v>2.7863666666666602</v>
      </c>
      <c r="D21" s="2">
        <v>1.7785833333333301</v>
      </c>
      <c r="E21" s="4">
        <f t="shared" si="0"/>
        <v>-1.0077833333333301</v>
      </c>
      <c r="F21" t="s">
        <v>7</v>
      </c>
      <c r="G21">
        <v>0.83998333333333297</v>
      </c>
      <c r="H21">
        <v>0.9385999999999971</v>
      </c>
    </row>
    <row r="22" spans="1:8" x14ac:dyDescent="0.2">
      <c r="A22" s="1">
        <v>43313.458333333336</v>
      </c>
      <c r="B22">
        <v>59</v>
      </c>
      <c r="C22" s="3">
        <v>0</v>
      </c>
      <c r="D22" s="2">
        <v>5.1363500000000002</v>
      </c>
      <c r="E22" s="4">
        <f t="shared" ref="E22:E64" si="1">D22-C22</f>
        <v>5.1363500000000002</v>
      </c>
      <c r="F22" t="s">
        <v>8</v>
      </c>
      <c r="G22">
        <v>0.90956666666666597</v>
      </c>
      <c r="H22">
        <v>4.2267833333333344</v>
      </c>
    </row>
    <row r="23" spans="1:8" x14ac:dyDescent="0.2">
      <c r="A23" s="1">
        <v>43313.458333333336</v>
      </c>
      <c r="B23">
        <v>86</v>
      </c>
      <c r="C23" s="3">
        <v>0</v>
      </c>
      <c r="D23" s="2">
        <v>2.4937833333333299</v>
      </c>
      <c r="E23" s="4">
        <f t="shared" si="1"/>
        <v>2.4937833333333299</v>
      </c>
      <c r="F23" t="s">
        <v>8</v>
      </c>
      <c r="G23">
        <v>0.50328333333333264</v>
      </c>
      <c r="H23">
        <v>1.9904999999999973</v>
      </c>
    </row>
    <row r="24" spans="1:8" x14ac:dyDescent="0.2">
      <c r="A24" s="1">
        <v>43313.458333333336</v>
      </c>
      <c r="B24">
        <v>94</v>
      </c>
      <c r="C24" s="3">
        <v>0</v>
      </c>
      <c r="D24" s="2">
        <v>0.75628333333333297</v>
      </c>
      <c r="E24" s="4">
        <f t="shared" si="1"/>
        <v>0.75628333333333297</v>
      </c>
      <c r="F24" t="s">
        <v>8</v>
      </c>
      <c r="G24">
        <v>0.20484999999999967</v>
      </c>
      <c r="H24">
        <v>0.55143333333333333</v>
      </c>
    </row>
    <row r="25" spans="1:8" x14ac:dyDescent="0.2">
      <c r="A25" s="1">
        <v>43313.458333333336</v>
      </c>
      <c r="B25">
        <v>115</v>
      </c>
      <c r="C25" s="3">
        <v>0</v>
      </c>
      <c r="D25" s="2">
        <v>1.4041333333333299</v>
      </c>
      <c r="E25" s="4">
        <f t="shared" si="1"/>
        <v>1.4041333333333299</v>
      </c>
      <c r="F25" t="s">
        <v>8</v>
      </c>
      <c r="G25">
        <v>0.83913333333333295</v>
      </c>
      <c r="H25">
        <v>0.56499999999999695</v>
      </c>
    </row>
    <row r="26" spans="1:8" x14ac:dyDescent="0.2">
      <c r="A26" s="1">
        <v>43313.458333333336</v>
      </c>
      <c r="B26">
        <v>503</v>
      </c>
      <c r="C26" s="3">
        <v>0</v>
      </c>
      <c r="D26" s="2">
        <v>2.0144166666666599</v>
      </c>
      <c r="E26" s="4">
        <f t="shared" si="1"/>
        <v>2.0144166666666599</v>
      </c>
      <c r="F26" t="s">
        <v>8</v>
      </c>
      <c r="G26">
        <v>1.40893333333333</v>
      </c>
      <c r="H26">
        <v>0.60548333333332982</v>
      </c>
    </row>
    <row r="27" spans="1:8" x14ac:dyDescent="0.2">
      <c r="A27" s="1">
        <v>43313.458333333336</v>
      </c>
      <c r="B27">
        <v>621</v>
      </c>
      <c r="C27" s="3">
        <v>0</v>
      </c>
      <c r="D27" s="2">
        <v>1.06876666666666</v>
      </c>
      <c r="E27" s="4">
        <f t="shared" si="1"/>
        <v>1.06876666666666</v>
      </c>
      <c r="F27" t="s">
        <v>8</v>
      </c>
      <c r="G27">
        <v>0.42785000000000001</v>
      </c>
      <c r="H27">
        <v>0.64091666666665992</v>
      </c>
    </row>
    <row r="28" spans="1:8" x14ac:dyDescent="0.2">
      <c r="A28" s="1">
        <v>43313.458333333336</v>
      </c>
      <c r="B28">
        <v>871</v>
      </c>
      <c r="C28" s="3">
        <v>0</v>
      </c>
      <c r="D28" s="2">
        <v>0.63314999999999999</v>
      </c>
      <c r="E28" s="4">
        <f t="shared" si="1"/>
        <v>0.63314999999999999</v>
      </c>
      <c r="F28" t="s">
        <v>8</v>
      </c>
      <c r="G28">
        <v>3.8949999999999999E-2</v>
      </c>
      <c r="H28">
        <v>0.59419999999999995</v>
      </c>
    </row>
    <row r="29" spans="1:8" x14ac:dyDescent="0.2">
      <c r="A29" s="1">
        <v>43313.458333333336</v>
      </c>
      <c r="B29">
        <v>930</v>
      </c>
      <c r="C29" s="3">
        <v>0</v>
      </c>
      <c r="D29" s="2">
        <v>1.3620666666666601</v>
      </c>
      <c r="E29" s="4">
        <f t="shared" si="1"/>
        <v>1.3620666666666601</v>
      </c>
      <c r="F29" t="s">
        <v>8</v>
      </c>
      <c r="G29">
        <v>0.87381666666666602</v>
      </c>
      <c r="H29">
        <v>0.48824999999999408</v>
      </c>
    </row>
    <row r="30" spans="1:8" x14ac:dyDescent="0.2">
      <c r="A30" s="1">
        <v>43313.458333333336</v>
      </c>
      <c r="B30">
        <v>946</v>
      </c>
      <c r="C30" s="3">
        <v>0</v>
      </c>
      <c r="D30" s="2">
        <v>0.52095000000000002</v>
      </c>
      <c r="E30" s="4">
        <f t="shared" si="1"/>
        <v>0.52095000000000002</v>
      </c>
      <c r="F30" t="s">
        <v>8</v>
      </c>
      <c r="G30" s="6">
        <v>1E-4</v>
      </c>
      <c r="H30">
        <v>0.52095000000000002</v>
      </c>
    </row>
    <row r="31" spans="1:8" x14ac:dyDescent="0.2">
      <c r="A31" s="1">
        <v>43313.458333333336</v>
      </c>
      <c r="B31">
        <v>994</v>
      </c>
      <c r="C31" s="3">
        <v>0</v>
      </c>
      <c r="D31" s="2">
        <v>0.32643333333333302</v>
      </c>
      <c r="E31" s="4">
        <f t="shared" si="1"/>
        <v>0.32643333333333302</v>
      </c>
      <c r="F31" t="s">
        <v>8</v>
      </c>
      <c r="G31">
        <v>5.0000000000000001E-3</v>
      </c>
      <c r="H31">
        <v>0.32143333333333302</v>
      </c>
    </row>
    <row r="32" spans="1:8" x14ac:dyDescent="0.2">
      <c r="A32" s="1">
        <v>43313.458333333336</v>
      </c>
      <c r="B32">
        <v>1086</v>
      </c>
      <c r="C32" s="3">
        <v>0</v>
      </c>
      <c r="D32" s="2">
        <v>0.864966666666666</v>
      </c>
      <c r="E32" s="4">
        <f t="shared" si="1"/>
        <v>0.864966666666666</v>
      </c>
      <c r="F32" t="s">
        <v>8</v>
      </c>
      <c r="G32">
        <v>0.37881666666666602</v>
      </c>
      <c r="H32">
        <v>0.48614999999999997</v>
      </c>
    </row>
    <row r="33" spans="1:8" x14ac:dyDescent="0.2">
      <c r="A33" s="1">
        <v>43313.458333333336</v>
      </c>
      <c r="B33">
        <v>1202</v>
      </c>
      <c r="C33" s="3">
        <v>0</v>
      </c>
      <c r="D33" s="2">
        <v>3.3263500000000001</v>
      </c>
      <c r="E33" s="4">
        <f t="shared" si="1"/>
        <v>3.3263500000000001</v>
      </c>
      <c r="F33" t="s">
        <v>8</v>
      </c>
      <c r="G33">
        <v>1.6049833333333265</v>
      </c>
      <c r="H33">
        <v>1.7213666666666736</v>
      </c>
    </row>
    <row r="34" spans="1:8" x14ac:dyDescent="0.2">
      <c r="A34" s="1">
        <v>43313.458333333336</v>
      </c>
      <c r="B34">
        <v>1334</v>
      </c>
      <c r="C34" s="3">
        <v>0</v>
      </c>
      <c r="D34" s="2">
        <v>1.7181999999999999</v>
      </c>
      <c r="E34" s="4">
        <f t="shared" si="1"/>
        <v>1.7181999999999999</v>
      </c>
      <c r="F34" t="s">
        <v>8</v>
      </c>
      <c r="G34">
        <v>0.88098333333333301</v>
      </c>
      <c r="H34">
        <v>0.83721666666666694</v>
      </c>
    </row>
    <row r="35" spans="1:8" x14ac:dyDescent="0.2">
      <c r="A35" s="1">
        <v>43313.458333333336</v>
      </c>
      <c r="B35">
        <v>1500</v>
      </c>
      <c r="C35" s="3">
        <v>0</v>
      </c>
      <c r="D35" s="2">
        <v>6.9416666666666599E-2</v>
      </c>
      <c r="E35" s="4">
        <f t="shared" si="1"/>
        <v>6.9416666666666599E-2</v>
      </c>
      <c r="F35" t="s">
        <v>8</v>
      </c>
      <c r="G35" s="6">
        <v>1E-4</v>
      </c>
      <c r="H35">
        <v>6.9416666666666599E-2</v>
      </c>
    </row>
    <row r="36" spans="1:8" x14ac:dyDescent="0.2">
      <c r="A36" s="1">
        <v>43313.458333333336</v>
      </c>
      <c r="B36">
        <v>1507</v>
      </c>
      <c r="C36" s="3">
        <v>0</v>
      </c>
      <c r="D36" s="2">
        <v>4.9087166666666597</v>
      </c>
      <c r="E36" s="4">
        <f t="shared" si="1"/>
        <v>4.9087166666666597</v>
      </c>
      <c r="F36" t="s">
        <v>8</v>
      </c>
      <c r="G36">
        <v>2.72258333333333</v>
      </c>
      <c r="H36">
        <v>2.1861333333333297</v>
      </c>
    </row>
    <row r="37" spans="1:8" x14ac:dyDescent="0.2">
      <c r="A37" s="1">
        <v>43313.458333333336</v>
      </c>
      <c r="B37">
        <v>1796</v>
      </c>
      <c r="C37" s="3">
        <v>0</v>
      </c>
      <c r="D37" s="2">
        <v>8.1816666666666593E-2</v>
      </c>
      <c r="E37" s="4">
        <f t="shared" si="1"/>
        <v>8.1816666666666593E-2</v>
      </c>
      <c r="F37" t="s">
        <v>8</v>
      </c>
      <c r="G37" s="6">
        <v>1E-4</v>
      </c>
      <c r="H37">
        <v>8.1816666666666593E-2</v>
      </c>
    </row>
    <row r="38" spans="1:8" x14ac:dyDescent="0.2">
      <c r="A38" s="1">
        <v>43313.458333333336</v>
      </c>
      <c r="B38">
        <v>2004</v>
      </c>
      <c r="C38" s="3">
        <v>0</v>
      </c>
      <c r="D38" s="2">
        <v>2.2673333333333301</v>
      </c>
      <c r="E38" s="4">
        <f t="shared" si="1"/>
        <v>2.2673333333333301</v>
      </c>
      <c r="F38" t="s">
        <v>8</v>
      </c>
      <c r="G38">
        <v>1.4444999999999992</v>
      </c>
      <c r="H38">
        <v>0.82283333333333086</v>
      </c>
    </row>
    <row r="39" spans="1:8" x14ac:dyDescent="0.2">
      <c r="A39" s="1">
        <v>43313.458333333336</v>
      </c>
      <c r="B39">
        <v>2034</v>
      </c>
      <c r="C39" s="3">
        <v>0</v>
      </c>
      <c r="D39" s="2">
        <v>1.76183333333333</v>
      </c>
      <c r="E39" s="4">
        <f t="shared" si="1"/>
        <v>1.76183333333333</v>
      </c>
      <c r="F39" t="s">
        <v>8</v>
      </c>
      <c r="G39">
        <v>0.68073333333333297</v>
      </c>
      <c r="H39">
        <v>1.0810999999999971</v>
      </c>
    </row>
    <row r="40" spans="1:8" x14ac:dyDescent="0.2">
      <c r="A40" s="1">
        <v>43313.458333333336</v>
      </c>
      <c r="B40">
        <v>2158</v>
      </c>
      <c r="C40" s="3">
        <v>0</v>
      </c>
      <c r="D40" s="2">
        <v>1.59516666666666</v>
      </c>
      <c r="E40" s="4">
        <f t="shared" si="1"/>
        <v>1.59516666666666</v>
      </c>
      <c r="F40" t="s">
        <v>8</v>
      </c>
      <c r="G40">
        <v>0.74213333333333298</v>
      </c>
      <c r="H40">
        <v>0.85303333333332698</v>
      </c>
    </row>
    <row r="41" spans="1:8" x14ac:dyDescent="0.2">
      <c r="A41" s="1">
        <v>43313.458333333336</v>
      </c>
      <c r="B41">
        <v>2378</v>
      </c>
      <c r="C41" s="3">
        <v>0</v>
      </c>
      <c r="D41" s="2">
        <v>1.4761500000000001</v>
      </c>
      <c r="E41" s="4">
        <f t="shared" si="1"/>
        <v>1.4761500000000001</v>
      </c>
      <c r="F41" t="s">
        <v>8</v>
      </c>
      <c r="G41">
        <v>1.33666666666666E-2</v>
      </c>
      <c r="H41">
        <v>1.4627833333333335</v>
      </c>
    </row>
    <row r="42" spans="1:8" x14ac:dyDescent="0.2">
      <c r="A42" s="1">
        <v>43313.458333333336</v>
      </c>
      <c r="B42">
        <v>2472</v>
      </c>
      <c r="C42" s="3">
        <v>0</v>
      </c>
      <c r="D42" s="2">
        <v>1.9410499999999999</v>
      </c>
      <c r="E42" s="4">
        <f t="shared" si="1"/>
        <v>1.9410499999999999</v>
      </c>
      <c r="F42" t="s">
        <v>8</v>
      </c>
      <c r="G42">
        <v>1.2753000000000001</v>
      </c>
      <c r="H42">
        <v>0.66574999999999984</v>
      </c>
    </row>
    <row r="43" spans="1:8" x14ac:dyDescent="0.2">
      <c r="A43" s="1">
        <v>43313.458333333336</v>
      </c>
      <c r="B43">
        <v>2859</v>
      </c>
      <c r="C43" s="3">
        <v>0</v>
      </c>
      <c r="D43" s="2">
        <v>0.60251666666666603</v>
      </c>
      <c r="E43" s="4">
        <f t="shared" si="1"/>
        <v>0.60251666666666603</v>
      </c>
      <c r="F43" t="s">
        <v>8</v>
      </c>
      <c r="G43">
        <v>0.34751666666666597</v>
      </c>
      <c r="H43">
        <v>0.25500000000000006</v>
      </c>
    </row>
    <row r="44" spans="1:8" x14ac:dyDescent="0.2">
      <c r="A44" s="1">
        <v>43313.458333333336</v>
      </c>
      <c r="B44">
        <v>2953</v>
      </c>
      <c r="C44" s="3">
        <v>0</v>
      </c>
      <c r="D44" s="2">
        <v>1.1553166666666601</v>
      </c>
      <c r="E44" s="4">
        <f t="shared" si="1"/>
        <v>1.1553166666666601</v>
      </c>
      <c r="F44" t="s">
        <v>8</v>
      </c>
      <c r="G44">
        <v>0.45681666666666598</v>
      </c>
      <c r="H44">
        <v>0.69849999999999413</v>
      </c>
    </row>
    <row r="45" spans="1:8" x14ac:dyDescent="0.2">
      <c r="A45" s="1">
        <v>43313.458333333336</v>
      </c>
      <c r="B45">
        <v>3273</v>
      </c>
      <c r="C45" s="3">
        <v>0</v>
      </c>
      <c r="D45" s="2">
        <v>0.64908333333333301</v>
      </c>
      <c r="E45" s="4">
        <f t="shared" si="1"/>
        <v>0.64908333333333301</v>
      </c>
      <c r="F45" t="s">
        <v>8</v>
      </c>
      <c r="G45">
        <v>0.27965000000000001</v>
      </c>
      <c r="H45">
        <v>0.369433333333333</v>
      </c>
    </row>
    <row r="46" spans="1:8" x14ac:dyDescent="0.2">
      <c r="A46" s="1">
        <v>43313.458333333336</v>
      </c>
      <c r="B46">
        <v>3401</v>
      </c>
      <c r="C46" s="3">
        <v>0</v>
      </c>
      <c r="D46" s="2">
        <v>2.7759</v>
      </c>
      <c r="E46" s="4">
        <f t="shared" si="1"/>
        <v>2.7759</v>
      </c>
      <c r="F46" t="s">
        <v>8</v>
      </c>
      <c r="G46">
        <v>2.3266666666666599E-2</v>
      </c>
      <c r="H46">
        <v>2.7526333333333333</v>
      </c>
    </row>
    <row r="47" spans="1:8" x14ac:dyDescent="0.2">
      <c r="A47" s="1">
        <v>43313.458333333336</v>
      </c>
      <c r="B47">
        <v>3778</v>
      </c>
      <c r="C47" s="3">
        <v>0</v>
      </c>
      <c r="D47" s="2">
        <v>1.68126666666666</v>
      </c>
      <c r="E47" s="4">
        <f t="shared" si="1"/>
        <v>1.68126666666666</v>
      </c>
      <c r="F47" t="s">
        <v>8</v>
      </c>
      <c r="G47">
        <v>0.56093333333333295</v>
      </c>
      <c r="H47">
        <v>1.1203333333333272</v>
      </c>
    </row>
    <row r="48" spans="1:8" x14ac:dyDescent="0.2">
      <c r="A48" s="1">
        <v>43313.458333333336</v>
      </c>
      <c r="B48">
        <v>3831</v>
      </c>
      <c r="C48" s="3">
        <v>0</v>
      </c>
      <c r="D48" s="2">
        <v>2.04975</v>
      </c>
      <c r="E48" s="4">
        <f t="shared" si="1"/>
        <v>2.04975</v>
      </c>
      <c r="F48" t="s">
        <v>8</v>
      </c>
      <c r="G48">
        <v>1.3421666666666601</v>
      </c>
      <c r="H48">
        <v>0.70758333333333989</v>
      </c>
    </row>
    <row r="49" spans="1:8" x14ac:dyDescent="0.2">
      <c r="A49" s="1">
        <v>43313.458333333336</v>
      </c>
      <c r="B49">
        <v>3893</v>
      </c>
      <c r="C49" s="3">
        <v>0</v>
      </c>
      <c r="D49" s="2">
        <v>1.1882333333333299</v>
      </c>
      <c r="E49" s="4">
        <f t="shared" si="1"/>
        <v>1.1882333333333299</v>
      </c>
      <c r="F49" t="s">
        <v>8</v>
      </c>
      <c r="G49">
        <v>0.53183333333333305</v>
      </c>
      <c r="H49">
        <v>0.65639999999999687</v>
      </c>
    </row>
    <row r="50" spans="1:8" x14ac:dyDescent="0.2">
      <c r="A50" s="1">
        <v>43313.458333333336</v>
      </c>
      <c r="B50">
        <v>4213</v>
      </c>
      <c r="C50" s="3">
        <v>0</v>
      </c>
      <c r="D50" s="2">
        <v>0.222783333333333</v>
      </c>
      <c r="E50" s="4">
        <f t="shared" si="1"/>
        <v>0.222783333333333</v>
      </c>
      <c r="F50" t="s">
        <v>8</v>
      </c>
      <c r="G50" s="6">
        <v>1E-4</v>
      </c>
      <c r="H50">
        <v>0.222783333333333</v>
      </c>
    </row>
    <row r="51" spans="1:8" x14ac:dyDescent="0.2">
      <c r="A51" s="1">
        <v>43313.458333333336</v>
      </c>
      <c r="B51">
        <v>4298</v>
      </c>
      <c r="C51" s="3">
        <v>0</v>
      </c>
      <c r="D51" s="2">
        <v>1.0887166666666599</v>
      </c>
      <c r="E51" s="4">
        <f t="shared" si="1"/>
        <v>1.0887166666666599</v>
      </c>
      <c r="F51" t="s">
        <v>8</v>
      </c>
      <c r="G51">
        <v>0.57993333333333297</v>
      </c>
      <c r="H51">
        <v>0.50878333333332693</v>
      </c>
    </row>
    <row r="52" spans="1:8" x14ac:dyDescent="0.2">
      <c r="A52" s="1">
        <v>43313.458333333336</v>
      </c>
      <c r="B52">
        <v>370</v>
      </c>
      <c r="C52" t="e">
        <f t="array" ref="C52">VLOOKUP(A52&amp;B52,IF({1,0},#REF!&amp;#REF!,#REF!),2,FALSE)</f>
        <v>#N/A</v>
      </c>
      <c r="D52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1.0060166666666654</v>
      </c>
      <c r="H52">
        <v>0.64668333333333461</v>
      </c>
    </row>
    <row r="53" spans="1:8" x14ac:dyDescent="0.2">
      <c r="A53" s="1">
        <v>43313.458333333336</v>
      </c>
      <c r="B53">
        <v>2638</v>
      </c>
      <c r="C53" t="e">
        <f t="array" ref="C53">VLOOKUP(A53&amp;B53,IF({1,0},#REF!&amp;#REF!,#REF!),2,FALSE)</f>
        <v>#N/A</v>
      </c>
      <c r="D5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0.92905000000000004</v>
      </c>
      <c r="H53">
        <v>0.72044999999999992</v>
      </c>
    </row>
    <row r="54" spans="1:8" x14ac:dyDescent="0.2">
      <c r="A54" s="1">
        <v>43313.458333333336</v>
      </c>
      <c r="B54">
        <v>3482</v>
      </c>
      <c r="C54" t="e">
        <f t="array" ref="C54">VLOOKUP(A54&amp;B54,IF({1,0},#REF!&amp;#REF!,#REF!),2,FALSE)</f>
        <v>#N/A</v>
      </c>
      <c r="D54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0.31314999999999932</v>
      </c>
      <c r="H54">
        <v>0.43495000000000067</v>
      </c>
    </row>
    <row r="55" spans="1:8" x14ac:dyDescent="0.2">
      <c r="A55" s="1">
        <v>43313.458333333336</v>
      </c>
      <c r="B55">
        <v>3723</v>
      </c>
      <c r="C55" t="e">
        <f t="array" ref="C55">VLOOKUP(A55&amp;B55,IF({1,0},#REF!&amp;#REF!,#REF!),2,FALSE)</f>
        <v>#N/A</v>
      </c>
      <c r="D55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1.2634333333333265</v>
      </c>
      <c r="H55">
        <v>0.70495000000000352</v>
      </c>
    </row>
    <row r="56" spans="1:8" x14ac:dyDescent="0.2">
      <c r="A56" s="1">
        <v>43313.458333333336</v>
      </c>
      <c r="B56">
        <v>3967</v>
      </c>
      <c r="C56" t="e">
        <f t="array" ref="C56">VLOOKUP(A56&amp;B56,IF({1,0},#REF!&amp;#REF!,#REF!),2,FALSE)</f>
        <v>#N/A</v>
      </c>
      <c r="D56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1.4032833333333301</v>
      </c>
      <c r="H56">
        <v>0.99029999999999974</v>
      </c>
    </row>
    <row r="57" spans="1:8" x14ac:dyDescent="0.2">
      <c r="A57" s="1">
        <v>43313.458333333336</v>
      </c>
      <c r="B57">
        <v>4998</v>
      </c>
      <c r="C57" t="e">
        <f t="array" ref="C57">VLOOKUP(A57&amp;B57,IF({1,0},#REF!&amp;#REF!,#REF!),2,FALSE)</f>
        <v>#N/A</v>
      </c>
      <c r="D57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1.35103333333333</v>
      </c>
      <c r="H57">
        <v>0.87543333333332995</v>
      </c>
    </row>
    <row r="58" spans="1:8" x14ac:dyDescent="0.2">
      <c r="A58" s="1">
        <v>43313.458333333336</v>
      </c>
      <c r="B58">
        <v>5749</v>
      </c>
      <c r="C58" t="e">
        <f t="array" ref="C58">VLOOKUP(A58&amp;B58,IF({1,0},#REF!&amp;#REF!,#REF!),2,FALSE)</f>
        <v>#N/A</v>
      </c>
      <c r="D58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1.3471166666666659</v>
      </c>
      <c r="H58">
        <v>1.0857333333333343</v>
      </c>
    </row>
    <row r="59" spans="1:8" x14ac:dyDescent="0.2">
      <c r="A59" s="1">
        <v>43313.458333333336</v>
      </c>
      <c r="B59">
        <v>6248</v>
      </c>
      <c r="C59" t="e">
        <f t="array" ref="C59">VLOOKUP(A59&amp;B59,IF({1,0},#REF!&amp;#REF!,#REF!),2,FALSE)</f>
        <v>#N/A</v>
      </c>
      <c r="D59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0.79503333333333304</v>
      </c>
      <c r="H59">
        <v>0.46323333333332695</v>
      </c>
    </row>
    <row r="60" spans="1:8" x14ac:dyDescent="0.2">
      <c r="A60" s="1">
        <v>43313.458333333336</v>
      </c>
      <c r="B60">
        <v>6691</v>
      </c>
      <c r="C60" t="e">
        <f t="array" ref="C60">VLOOKUP(A60&amp;B60,IF({1,0},#REF!&amp;#REF!,#REF!),2,FALSE)</f>
        <v>#N/A</v>
      </c>
      <c r="D60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1.87536666666666</v>
      </c>
      <c r="H60">
        <v>0.97366666666667023</v>
      </c>
    </row>
    <row r="61" spans="1:8" x14ac:dyDescent="0.2">
      <c r="A61" s="1">
        <v>43313.458333333336</v>
      </c>
      <c r="B61">
        <v>7024</v>
      </c>
      <c r="C61" t="e">
        <f t="array" ref="C61">VLOOKUP(A61&amp;B61,IF({1,0},#REF!&amp;#REF!,#REF!),2,FALSE)</f>
        <v>#N/A</v>
      </c>
      <c r="D61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1.4101999999999997</v>
      </c>
      <c r="H61">
        <v>0.47285000000000021</v>
      </c>
    </row>
    <row r="62" spans="1:8" x14ac:dyDescent="0.2">
      <c r="A62" s="1">
        <v>43313.458333333336</v>
      </c>
      <c r="B62">
        <v>7875</v>
      </c>
      <c r="C62" t="e">
        <f t="array" ref="C62">VLOOKUP(A62&amp;B62,IF({1,0},#REF!&amp;#REF!,#REF!),2,FALSE)</f>
        <v>#N/A</v>
      </c>
      <c r="D62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0.31628333333333303</v>
      </c>
      <c r="H62">
        <v>1.6733333333333269</v>
      </c>
    </row>
    <row r="63" spans="1:8" x14ac:dyDescent="0.2">
      <c r="A63" s="1">
        <v>43313.458333333336</v>
      </c>
      <c r="B63">
        <v>8236</v>
      </c>
      <c r="C63" t="e">
        <f t="array" ref="C63">VLOOKUP(A63&amp;B63,IF({1,0},#REF!&amp;#REF!,#REF!),2,FALSE)</f>
        <v>#N/A</v>
      </c>
      <c r="D6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0.55668333333333275</v>
      </c>
      <c r="H63">
        <v>0.38700000000000023</v>
      </c>
    </row>
    <row r="64" spans="1:8" x14ac:dyDescent="0.2">
      <c r="A64" s="1">
        <v>43313.458333333336</v>
      </c>
      <c r="B64">
        <v>8645</v>
      </c>
      <c r="C64" t="e">
        <f t="array" ref="C64">VLOOKUP(A64&amp;B64,IF({1,0},#REF!&amp;#REF!,#REF!),2,FALSE)</f>
        <v>#N/A</v>
      </c>
      <c r="D64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0.41815000000000002</v>
      </c>
      <c r="H64">
        <v>0.20786666666666598</v>
      </c>
    </row>
    <row r="65" spans="1:5" x14ac:dyDescent="0.2">
      <c r="A65" s="1"/>
      <c r="E65"/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5AA40-B750-AE4A-81F0-1E061FBFAFE6}">
  <dimension ref="A1:J17110"/>
  <sheetViews>
    <sheetView topLeftCell="B1" zoomScale="173" workbookViewId="0">
      <selection activeCell="I52" sqref="I52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10" x14ac:dyDescent="0.2">
      <c r="A1" t="s">
        <v>32</v>
      </c>
      <c r="B1" t="s">
        <v>33</v>
      </c>
      <c r="C1" t="s">
        <v>34</v>
      </c>
      <c r="D1" t="s">
        <v>35</v>
      </c>
      <c r="E1" s="4" t="s">
        <v>36</v>
      </c>
      <c r="F1" t="s">
        <v>37</v>
      </c>
      <c r="G1" t="s">
        <v>17</v>
      </c>
      <c r="H1" t="s">
        <v>18</v>
      </c>
      <c r="I1" t="s">
        <v>43</v>
      </c>
      <c r="J1">
        <v>0.7</v>
      </c>
    </row>
    <row r="2" spans="1:10" x14ac:dyDescent="0.2">
      <c r="A2" s="1">
        <v>43313.5</v>
      </c>
      <c r="B2">
        <v>93</v>
      </c>
      <c r="C2" s="3">
        <v>3.3538000000000001</v>
      </c>
      <c r="D2" s="2">
        <v>0.39341666666666603</v>
      </c>
      <c r="E2" s="4">
        <v>-2.960383333333334</v>
      </c>
      <c r="F2" t="s">
        <v>39</v>
      </c>
      <c r="G2">
        <v>3.5333333333333302E-3</v>
      </c>
      <c r="H2">
        <v>0.38988333333333269</v>
      </c>
      <c r="I2">
        <v>0.6</v>
      </c>
      <c r="J2">
        <v>0.15</v>
      </c>
    </row>
    <row r="3" spans="1:10" x14ac:dyDescent="0.2">
      <c r="A3" s="1">
        <v>43313.5</v>
      </c>
      <c r="B3">
        <v>171</v>
      </c>
      <c r="C3" s="3">
        <v>3.1792500000000001</v>
      </c>
      <c r="D3" s="2">
        <v>1.56931666666666</v>
      </c>
      <c r="E3" s="4">
        <v>-1.6099333333333401</v>
      </c>
      <c r="F3" t="s">
        <v>39</v>
      </c>
      <c r="G3" s="6">
        <v>1E-4</v>
      </c>
      <c r="H3">
        <v>1.56931666666666</v>
      </c>
      <c r="I3">
        <v>0.95</v>
      </c>
    </row>
    <row r="4" spans="1:10" x14ac:dyDescent="0.2">
      <c r="A4" s="1">
        <v>43313.5</v>
      </c>
      <c r="B4">
        <v>668</v>
      </c>
      <c r="C4" s="3">
        <v>3.6147499999999999</v>
      </c>
      <c r="D4" s="2">
        <v>2.8356499999999998</v>
      </c>
      <c r="E4" s="4">
        <v>-0.77910000000000013</v>
      </c>
      <c r="F4" t="s">
        <v>39</v>
      </c>
      <c r="G4">
        <v>1.3771499999999965</v>
      </c>
      <c r="H4">
        <v>1.4585000000000032</v>
      </c>
      <c r="I4">
        <v>0.56000000000000005</v>
      </c>
    </row>
    <row r="5" spans="1:10" x14ac:dyDescent="0.2">
      <c r="A5" s="1">
        <v>43313.5</v>
      </c>
      <c r="B5">
        <v>781</v>
      </c>
      <c r="C5" s="3">
        <v>3.2948333333333299</v>
      </c>
      <c r="D5" s="2">
        <v>0.43966666666666598</v>
      </c>
      <c r="E5" s="4">
        <v>-2.8551666666666637</v>
      </c>
      <c r="F5" t="s">
        <v>39</v>
      </c>
      <c r="G5">
        <v>0.13628333333333301</v>
      </c>
      <c r="H5">
        <v>0.30338333333333301</v>
      </c>
      <c r="I5">
        <v>0.39</v>
      </c>
    </row>
    <row r="6" spans="1:10" x14ac:dyDescent="0.2">
      <c r="A6" s="1">
        <v>43313.5</v>
      </c>
      <c r="B6">
        <v>974</v>
      </c>
      <c r="C6" s="3">
        <v>3.9471500000000002</v>
      </c>
      <c r="D6" s="2">
        <v>2.9179666666666599</v>
      </c>
      <c r="E6" s="4">
        <v>-1.0291833333333402</v>
      </c>
      <c r="F6" t="s">
        <v>39</v>
      </c>
      <c r="G6">
        <v>1.3543833333333331</v>
      </c>
      <c r="H6">
        <v>1.5635833333333269</v>
      </c>
      <c r="I6">
        <v>0.85</v>
      </c>
    </row>
    <row r="7" spans="1:10" x14ac:dyDescent="0.2">
      <c r="A7" s="1">
        <v>43313.5</v>
      </c>
      <c r="B7">
        <v>1192</v>
      </c>
      <c r="C7" s="3">
        <v>3.3987500000000002</v>
      </c>
      <c r="D7" s="2">
        <v>1.3339333333333301</v>
      </c>
      <c r="E7" s="4">
        <v>-2.0648166666666699</v>
      </c>
      <c r="F7" t="s">
        <v>39</v>
      </c>
      <c r="G7">
        <v>0.81766666666666632</v>
      </c>
      <c r="H7">
        <v>0.51626666666666376</v>
      </c>
      <c r="I7">
        <v>1.02</v>
      </c>
    </row>
    <row r="8" spans="1:10" x14ac:dyDescent="0.2">
      <c r="A8" s="1">
        <v>43313.5</v>
      </c>
      <c r="B8">
        <v>1354</v>
      </c>
      <c r="C8" s="3">
        <v>3.9089999999999998</v>
      </c>
      <c r="D8" s="2">
        <v>0.30064999999999997</v>
      </c>
      <c r="E8" s="4">
        <v>-3.6083499999999997</v>
      </c>
      <c r="F8" t="s">
        <v>39</v>
      </c>
      <c r="G8">
        <v>2.8999999999999998E-3</v>
      </c>
      <c r="H8">
        <v>0.29774999999999996</v>
      </c>
      <c r="I8">
        <v>0.85</v>
      </c>
    </row>
    <row r="9" spans="1:10" x14ac:dyDescent="0.2">
      <c r="A9" s="1">
        <v>43313.5</v>
      </c>
      <c r="B9">
        <v>1714</v>
      </c>
      <c r="C9" s="3">
        <v>3.1892499999999999</v>
      </c>
      <c r="D9" s="2">
        <v>2.6997</v>
      </c>
      <c r="E9" s="4">
        <v>-0.48954999999999993</v>
      </c>
      <c r="F9" t="s">
        <v>39</v>
      </c>
      <c r="G9">
        <v>1.8154166666666636</v>
      </c>
      <c r="H9">
        <v>0.88428333333333642</v>
      </c>
      <c r="I9">
        <v>0.86</v>
      </c>
    </row>
    <row r="10" spans="1:10" x14ac:dyDescent="0.2">
      <c r="A10" s="1">
        <v>43313.5</v>
      </c>
      <c r="B10">
        <v>1800</v>
      </c>
      <c r="C10" s="3">
        <v>4.7735666666666603</v>
      </c>
      <c r="D10" s="2">
        <v>1.0958000000000001</v>
      </c>
      <c r="E10" s="4">
        <v>-3.6777666666666602</v>
      </c>
      <c r="F10" t="s">
        <v>39</v>
      </c>
      <c r="G10">
        <v>0.38823333333333299</v>
      </c>
      <c r="H10">
        <v>0.70756666666666712</v>
      </c>
      <c r="I10">
        <v>0.69</v>
      </c>
    </row>
    <row r="11" spans="1:10" x14ac:dyDescent="0.2">
      <c r="A11" s="1">
        <v>43313.5</v>
      </c>
      <c r="B11">
        <v>2129</v>
      </c>
      <c r="C11" s="3">
        <v>3.3027166666666599</v>
      </c>
      <c r="D11" s="2">
        <v>2.1819833333333301</v>
      </c>
      <c r="E11" s="4">
        <v>-1.1207333333333298</v>
      </c>
      <c r="F11" t="s">
        <v>39</v>
      </c>
      <c r="G11">
        <v>0.92073333333333296</v>
      </c>
      <c r="H11">
        <v>1.2612499999999971</v>
      </c>
      <c r="I11">
        <v>0.81</v>
      </c>
    </row>
    <row r="12" spans="1:10" x14ac:dyDescent="0.2">
      <c r="A12" s="1">
        <v>43313.5</v>
      </c>
      <c r="B12">
        <v>252</v>
      </c>
      <c r="C12" s="3">
        <v>2.9412666666666598</v>
      </c>
      <c r="D12" s="2">
        <v>9.5856499999999993</v>
      </c>
      <c r="E12" s="4">
        <v>6.6443833333333391</v>
      </c>
      <c r="F12" t="s">
        <v>38</v>
      </c>
      <c r="G12" s="6">
        <v>1E-4</v>
      </c>
      <c r="H12">
        <v>9.5856499999999993</v>
      </c>
      <c r="I12">
        <v>0.63</v>
      </c>
    </row>
    <row r="13" spans="1:10" x14ac:dyDescent="0.2">
      <c r="A13" s="1">
        <v>43313.5</v>
      </c>
      <c r="B13">
        <v>379</v>
      </c>
      <c r="C13" s="3">
        <v>3.9489166666666602</v>
      </c>
      <c r="D13" s="2">
        <v>5.4357833333333296</v>
      </c>
      <c r="E13" s="4">
        <v>1.4868666666666694</v>
      </c>
      <c r="F13" t="s">
        <v>38</v>
      </c>
      <c r="G13">
        <v>4.286783333333327</v>
      </c>
      <c r="H13">
        <v>1.1490000000000027</v>
      </c>
      <c r="I13">
        <v>0.72</v>
      </c>
    </row>
    <row r="14" spans="1:10" x14ac:dyDescent="0.2">
      <c r="A14" s="1">
        <v>43313.5</v>
      </c>
      <c r="B14">
        <v>434</v>
      </c>
      <c r="C14" s="3">
        <v>3.7811833333333298</v>
      </c>
      <c r="D14" s="2">
        <v>4.4088333333333303</v>
      </c>
      <c r="E14" s="4">
        <v>0.62765000000000049</v>
      </c>
      <c r="F14" t="s">
        <v>38</v>
      </c>
      <c r="G14">
        <v>3.2278333333333298</v>
      </c>
      <c r="H14">
        <v>1.1810000000000005</v>
      </c>
      <c r="I14">
        <v>0.56000000000000005</v>
      </c>
    </row>
    <row r="15" spans="1:10" x14ac:dyDescent="0.2">
      <c r="A15" s="1">
        <v>43313.5</v>
      </c>
      <c r="B15">
        <v>1718</v>
      </c>
      <c r="C15" s="3">
        <v>3.4789833333333302</v>
      </c>
      <c r="D15" s="2">
        <v>4.0080499999999999</v>
      </c>
      <c r="E15" s="4">
        <v>0.52906666666666968</v>
      </c>
      <c r="F15" t="s">
        <v>38</v>
      </c>
      <c r="G15" s="6">
        <v>1E-4</v>
      </c>
      <c r="H15">
        <v>4.0080499999999999</v>
      </c>
      <c r="I15">
        <v>0.63</v>
      </c>
    </row>
    <row r="16" spans="1:10" x14ac:dyDescent="0.2">
      <c r="A16" s="1">
        <v>43313.5</v>
      </c>
      <c r="B16">
        <v>1792</v>
      </c>
      <c r="C16" s="3">
        <v>3.6474000000000002</v>
      </c>
      <c r="D16" s="2">
        <v>4.61628333333333</v>
      </c>
      <c r="E16" s="4">
        <v>0.96888333333332977</v>
      </c>
      <c r="F16" t="s">
        <v>38</v>
      </c>
      <c r="G16" s="6">
        <v>1E-4</v>
      </c>
      <c r="H16">
        <v>4.61628333333333</v>
      </c>
      <c r="I16">
        <v>0.61</v>
      </c>
    </row>
    <row r="17" spans="1:9" x14ac:dyDescent="0.2">
      <c r="A17" s="1">
        <v>43313.5</v>
      </c>
      <c r="B17">
        <v>2925</v>
      </c>
      <c r="C17" s="3">
        <v>3.39638333333333</v>
      </c>
      <c r="D17" s="2">
        <v>3.5804499999999999</v>
      </c>
      <c r="E17" s="4">
        <v>0.18406666666666993</v>
      </c>
      <c r="F17" t="s">
        <v>38</v>
      </c>
      <c r="G17" s="6">
        <v>1E-4</v>
      </c>
      <c r="H17">
        <v>3.5804499999999999</v>
      </c>
      <c r="I17">
        <v>0.73</v>
      </c>
    </row>
    <row r="18" spans="1:9" x14ac:dyDescent="0.2">
      <c r="A18" s="1">
        <v>43313.5</v>
      </c>
      <c r="B18">
        <v>3649</v>
      </c>
      <c r="C18" s="3">
        <v>4.6374166666666596</v>
      </c>
      <c r="D18" s="2">
        <v>5.0996833333333296</v>
      </c>
      <c r="E18" s="4">
        <v>0.46226666666666993</v>
      </c>
      <c r="F18" t="s">
        <v>38</v>
      </c>
      <c r="G18">
        <v>3.7223000000000002</v>
      </c>
      <c r="H18">
        <v>1.3773833333333294</v>
      </c>
      <c r="I18">
        <v>0.9</v>
      </c>
    </row>
    <row r="19" spans="1:9" x14ac:dyDescent="0.2">
      <c r="A19" s="1">
        <v>43313.5</v>
      </c>
      <c r="B19">
        <v>4357</v>
      </c>
      <c r="C19" s="3">
        <v>2.5160833333333299</v>
      </c>
      <c r="D19" s="2">
        <v>3.4505499999999998</v>
      </c>
      <c r="E19" s="4">
        <v>0.93446666666666989</v>
      </c>
      <c r="F19" t="s">
        <v>38</v>
      </c>
      <c r="G19">
        <v>2.6473833333333303</v>
      </c>
      <c r="H19">
        <v>0.80316666666666947</v>
      </c>
      <c r="I19">
        <v>0.47</v>
      </c>
    </row>
    <row r="20" spans="1:9" x14ac:dyDescent="0.2">
      <c r="A20" s="1">
        <v>43313.5</v>
      </c>
      <c r="B20">
        <v>4874</v>
      </c>
      <c r="C20" s="3">
        <v>2.4500833333333301</v>
      </c>
      <c r="D20" s="2">
        <v>2.8996166666666601</v>
      </c>
      <c r="E20" s="4">
        <v>0.44953333333333001</v>
      </c>
      <c r="F20" t="s">
        <v>38</v>
      </c>
      <c r="G20">
        <v>1.6238333333333266</v>
      </c>
      <c r="H20">
        <v>1.2757833333333335</v>
      </c>
      <c r="I20">
        <v>0.87</v>
      </c>
    </row>
    <row r="21" spans="1:9" x14ac:dyDescent="0.2">
      <c r="A21" s="1">
        <v>43313.5</v>
      </c>
      <c r="B21">
        <v>5035</v>
      </c>
      <c r="C21" s="3">
        <v>1.61031666666666</v>
      </c>
      <c r="D21" s="2">
        <v>4.23325</v>
      </c>
      <c r="E21" s="4">
        <v>2.6229333333333402</v>
      </c>
      <c r="F21" t="s">
        <v>38</v>
      </c>
      <c r="G21" s="6">
        <v>1E-4</v>
      </c>
      <c r="H21">
        <v>4.23325</v>
      </c>
      <c r="I21">
        <v>0.86</v>
      </c>
    </row>
    <row r="22" spans="1:9" x14ac:dyDescent="0.2">
      <c r="A22" s="1">
        <v>43313.5</v>
      </c>
      <c r="B22">
        <v>59</v>
      </c>
      <c r="C22" s="3">
        <v>0</v>
      </c>
      <c r="D22" s="2">
        <v>4.3077500000000004</v>
      </c>
      <c r="E22" s="4">
        <v>4.3077500000000004</v>
      </c>
      <c r="F22" t="s">
        <v>40</v>
      </c>
      <c r="G22">
        <v>0.71614999999999995</v>
      </c>
      <c r="H22">
        <v>3.5916000000000006</v>
      </c>
      <c r="I22">
        <v>0.5</v>
      </c>
    </row>
    <row r="23" spans="1:9" x14ac:dyDescent="0.2">
      <c r="A23" s="1">
        <v>43313.5</v>
      </c>
      <c r="B23">
        <v>86</v>
      </c>
      <c r="C23" s="3">
        <v>0</v>
      </c>
      <c r="D23" s="2">
        <v>3.0115666666666598</v>
      </c>
      <c r="E23" s="4">
        <v>3.0115666666666598</v>
      </c>
      <c r="F23" t="s">
        <v>40</v>
      </c>
      <c r="G23">
        <v>1.83673333333333</v>
      </c>
      <c r="H23">
        <v>1.1748333333333298</v>
      </c>
      <c r="I23">
        <v>0.87</v>
      </c>
    </row>
    <row r="24" spans="1:9" x14ac:dyDescent="0.2">
      <c r="A24" s="1">
        <v>43313.5</v>
      </c>
      <c r="B24">
        <v>94</v>
      </c>
      <c r="C24" s="3">
        <v>0</v>
      </c>
      <c r="D24" s="2">
        <v>0.77041666666666597</v>
      </c>
      <c r="E24" s="4">
        <v>0.77041666666666597</v>
      </c>
      <c r="F24" t="s">
        <v>40</v>
      </c>
      <c r="G24">
        <v>0.16168333333333265</v>
      </c>
      <c r="H24">
        <v>0.60873333333333335</v>
      </c>
      <c r="I24">
        <v>0.72</v>
      </c>
    </row>
    <row r="25" spans="1:9" x14ac:dyDescent="0.2">
      <c r="A25" s="1">
        <v>43313.5</v>
      </c>
      <c r="B25">
        <v>115</v>
      </c>
      <c r="C25" s="3">
        <v>0</v>
      </c>
      <c r="D25" s="2">
        <v>1.21441666666666</v>
      </c>
      <c r="E25" s="4">
        <v>1.21441666666666</v>
      </c>
      <c r="F25" t="s">
        <v>40</v>
      </c>
      <c r="G25">
        <v>0.75766666666666604</v>
      </c>
      <c r="H25">
        <v>0.45674999999999399</v>
      </c>
      <c r="I25">
        <v>0.68</v>
      </c>
    </row>
    <row r="26" spans="1:9" x14ac:dyDescent="0.2">
      <c r="A26" s="1">
        <v>43313.5</v>
      </c>
      <c r="B26">
        <v>503</v>
      </c>
      <c r="C26" s="3">
        <v>0</v>
      </c>
      <c r="D26" s="2">
        <v>2.16221666666666</v>
      </c>
      <c r="E26" s="4">
        <v>2.16221666666666</v>
      </c>
      <c r="F26" t="s">
        <v>40</v>
      </c>
      <c r="G26">
        <v>1.6383000000000001</v>
      </c>
      <c r="H26">
        <v>0.52391666666665992</v>
      </c>
      <c r="I26">
        <v>0.94</v>
      </c>
    </row>
    <row r="27" spans="1:9" x14ac:dyDescent="0.2">
      <c r="A27" s="1">
        <v>43313.5</v>
      </c>
      <c r="B27">
        <v>621</v>
      </c>
      <c r="C27" s="3">
        <v>0</v>
      </c>
      <c r="D27" s="2">
        <v>0.95438333333333303</v>
      </c>
      <c r="E27" s="4">
        <v>0.95438333333333303</v>
      </c>
      <c r="F27" t="s">
        <v>40</v>
      </c>
      <c r="G27">
        <v>0.32806666666666601</v>
      </c>
      <c r="H27">
        <v>0.62631666666666708</v>
      </c>
      <c r="I27">
        <v>0.52</v>
      </c>
    </row>
    <row r="28" spans="1:9" x14ac:dyDescent="0.2">
      <c r="A28" s="1">
        <v>43313.5</v>
      </c>
      <c r="B28">
        <v>871</v>
      </c>
      <c r="C28" s="3">
        <v>0</v>
      </c>
      <c r="D28" s="2">
        <v>1.6350499999999999</v>
      </c>
      <c r="E28" s="4">
        <v>1.6350499999999999</v>
      </c>
      <c r="F28" t="s">
        <v>40</v>
      </c>
      <c r="G28">
        <v>7.1766666666666604E-2</v>
      </c>
      <c r="H28">
        <v>1.5632833333333334</v>
      </c>
      <c r="I28">
        <v>0.65</v>
      </c>
    </row>
    <row r="29" spans="1:9" x14ac:dyDescent="0.2">
      <c r="A29" s="1">
        <v>43313.5</v>
      </c>
      <c r="B29">
        <v>930</v>
      </c>
      <c r="C29" s="3">
        <v>0</v>
      </c>
      <c r="D29" s="2">
        <v>1.56046666666666</v>
      </c>
      <c r="E29" s="4">
        <v>1.56046666666666</v>
      </c>
      <c r="F29" t="s">
        <v>40</v>
      </c>
      <c r="G29">
        <v>1.1003333333333301</v>
      </c>
      <c r="H29">
        <v>0.46013333333332995</v>
      </c>
      <c r="I29">
        <v>0.63</v>
      </c>
    </row>
    <row r="30" spans="1:9" x14ac:dyDescent="0.2">
      <c r="A30" s="1">
        <v>43313.5</v>
      </c>
      <c r="B30">
        <v>946</v>
      </c>
      <c r="C30" s="3">
        <v>0</v>
      </c>
      <c r="D30" s="2">
        <v>1.16143333333333</v>
      </c>
      <c r="E30" s="4">
        <v>1.16143333333333</v>
      </c>
      <c r="F30" t="s">
        <v>40</v>
      </c>
      <c r="G30">
        <v>0.65811666666666602</v>
      </c>
      <c r="H30">
        <v>0.50331666666666397</v>
      </c>
      <c r="I30">
        <v>0.28000000000000003</v>
      </c>
    </row>
    <row r="31" spans="1:9" x14ac:dyDescent="0.2">
      <c r="A31" s="1">
        <v>43313.5</v>
      </c>
      <c r="B31">
        <v>994</v>
      </c>
      <c r="C31" s="3">
        <v>0</v>
      </c>
      <c r="D31" s="2">
        <v>0.328633333333333</v>
      </c>
      <c r="E31" s="4">
        <v>0.328633333333333</v>
      </c>
      <c r="F31" t="s">
        <v>40</v>
      </c>
      <c r="G31">
        <v>5.0000000000000001E-3</v>
      </c>
      <c r="H31">
        <v>0.323633333333333</v>
      </c>
      <c r="I31">
        <v>0.5</v>
      </c>
    </row>
    <row r="32" spans="1:9" x14ac:dyDescent="0.2">
      <c r="A32" s="1">
        <v>43313.5</v>
      </c>
      <c r="B32">
        <v>1086</v>
      </c>
      <c r="C32" s="3">
        <v>0</v>
      </c>
      <c r="D32" s="2">
        <v>0.9476</v>
      </c>
      <c r="E32" s="4">
        <v>0.9476</v>
      </c>
      <c r="F32" t="s">
        <v>40</v>
      </c>
      <c r="G32">
        <v>0.46379999999999999</v>
      </c>
      <c r="H32">
        <v>0.48380000000000001</v>
      </c>
      <c r="I32">
        <v>0.59</v>
      </c>
    </row>
    <row r="33" spans="1:9" x14ac:dyDescent="0.2">
      <c r="A33" s="1">
        <v>43313.5</v>
      </c>
      <c r="B33">
        <v>1202</v>
      </c>
      <c r="C33" s="3">
        <v>0</v>
      </c>
      <c r="D33" s="2">
        <v>4.0242500000000003</v>
      </c>
      <c r="E33" s="4">
        <v>4.0242500000000003</v>
      </c>
      <c r="F33" t="s">
        <v>40</v>
      </c>
      <c r="G33">
        <v>1.9124499999999933</v>
      </c>
      <c r="H33">
        <v>2.1118000000000068</v>
      </c>
      <c r="I33">
        <v>0.54</v>
      </c>
    </row>
    <row r="34" spans="1:9" x14ac:dyDescent="0.2">
      <c r="A34" s="1">
        <v>43313.5</v>
      </c>
      <c r="B34">
        <v>1334</v>
      </c>
      <c r="C34" s="3">
        <v>0</v>
      </c>
      <c r="D34" s="2">
        <v>1.85063333333333</v>
      </c>
      <c r="E34" s="4">
        <v>1.85063333333333</v>
      </c>
      <c r="F34" t="s">
        <v>40</v>
      </c>
      <c r="G34">
        <v>0.98250000000000004</v>
      </c>
      <c r="H34">
        <v>0.86813333333332998</v>
      </c>
      <c r="I34">
        <v>0.79</v>
      </c>
    </row>
    <row r="35" spans="1:9" x14ac:dyDescent="0.2">
      <c r="A35" s="1">
        <v>43313.5</v>
      </c>
      <c r="B35">
        <v>1500</v>
      </c>
      <c r="C35" s="3">
        <v>0</v>
      </c>
      <c r="D35" s="2">
        <v>0.344733333333333</v>
      </c>
      <c r="E35" s="4">
        <v>0.344733333333333</v>
      </c>
      <c r="F35" t="s">
        <v>40</v>
      </c>
      <c r="G35">
        <v>0.158733333333333</v>
      </c>
      <c r="H35">
        <v>0.186</v>
      </c>
      <c r="I35">
        <v>0.66</v>
      </c>
    </row>
    <row r="36" spans="1:9" x14ac:dyDescent="0.2">
      <c r="A36" s="1">
        <v>43313.5</v>
      </c>
      <c r="B36">
        <v>1507</v>
      </c>
      <c r="C36" s="3">
        <v>0</v>
      </c>
      <c r="D36" s="2">
        <v>6.5031999999999996</v>
      </c>
      <c r="E36" s="4">
        <v>6.5031999999999996</v>
      </c>
      <c r="F36" t="s">
        <v>40</v>
      </c>
      <c r="G36">
        <v>3.1401333333333299</v>
      </c>
      <c r="H36">
        <v>3.3630666666666698</v>
      </c>
      <c r="I36">
        <v>0.82</v>
      </c>
    </row>
    <row r="37" spans="1:9" x14ac:dyDescent="0.2">
      <c r="A37" s="1">
        <v>43313.5</v>
      </c>
      <c r="B37">
        <v>1796</v>
      </c>
      <c r="C37" s="3">
        <v>0</v>
      </c>
      <c r="D37" s="2">
        <v>5.7216666666666603E-2</v>
      </c>
      <c r="E37" s="4">
        <v>5.7216666666666603E-2</v>
      </c>
      <c r="F37" t="s">
        <v>40</v>
      </c>
      <c r="G37" s="6">
        <v>1E-4</v>
      </c>
      <c r="H37">
        <v>5.7216666666666603E-2</v>
      </c>
      <c r="I37">
        <v>0.65</v>
      </c>
    </row>
    <row r="38" spans="1:9" x14ac:dyDescent="0.2">
      <c r="A38" s="1">
        <v>43313.5</v>
      </c>
      <c r="B38">
        <v>2004</v>
      </c>
      <c r="C38" s="3">
        <v>0</v>
      </c>
      <c r="D38" s="2">
        <v>1.70451666666666</v>
      </c>
      <c r="E38" s="4">
        <v>1.70451666666666</v>
      </c>
      <c r="F38" t="s">
        <v>40</v>
      </c>
      <c r="G38">
        <v>0.84126666666666627</v>
      </c>
      <c r="H38">
        <v>0.86324999999999374</v>
      </c>
      <c r="I38">
        <v>0.49</v>
      </c>
    </row>
    <row r="39" spans="1:9" x14ac:dyDescent="0.2">
      <c r="A39" s="1">
        <v>43313.5</v>
      </c>
      <c r="B39">
        <v>2034</v>
      </c>
      <c r="C39" s="3">
        <v>0</v>
      </c>
      <c r="D39" s="2">
        <v>2.0331333333333301</v>
      </c>
      <c r="E39" s="4">
        <v>2.0331333333333301</v>
      </c>
      <c r="F39" t="s">
        <v>40</v>
      </c>
      <c r="G39">
        <v>0.68644999999999934</v>
      </c>
      <c r="H39">
        <v>1.3466833333333308</v>
      </c>
      <c r="I39">
        <v>0.71</v>
      </c>
    </row>
    <row r="40" spans="1:9" x14ac:dyDescent="0.2">
      <c r="A40" s="1">
        <v>43313.5</v>
      </c>
      <c r="B40">
        <v>2158</v>
      </c>
      <c r="C40" s="3">
        <v>0</v>
      </c>
      <c r="D40" s="2">
        <v>2.6286833333333299</v>
      </c>
      <c r="E40" s="4">
        <v>2.6286833333333299</v>
      </c>
      <c r="F40" t="s">
        <v>40</v>
      </c>
      <c r="G40">
        <v>1.26056666666666</v>
      </c>
      <c r="H40">
        <v>1.36811666666667</v>
      </c>
      <c r="I40">
        <v>0.67</v>
      </c>
    </row>
    <row r="41" spans="1:9" x14ac:dyDescent="0.2">
      <c r="A41" s="1">
        <v>43313.5</v>
      </c>
      <c r="B41">
        <v>2378</v>
      </c>
      <c r="C41" s="3">
        <v>0</v>
      </c>
      <c r="D41" s="2">
        <v>1.46766666666666</v>
      </c>
      <c r="E41" s="4">
        <v>1.46766666666666</v>
      </c>
      <c r="F41" t="s">
        <v>40</v>
      </c>
      <c r="G41">
        <v>1.295E-2</v>
      </c>
      <c r="H41">
        <v>1.45471666666666</v>
      </c>
      <c r="I41">
        <v>0.57999999999999996</v>
      </c>
    </row>
    <row r="42" spans="1:9" x14ac:dyDescent="0.2">
      <c r="A42" s="1">
        <v>43313.5</v>
      </c>
      <c r="B42">
        <v>2472</v>
      </c>
      <c r="C42" s="3">
        <v>0</v>
      </c>
      <c r="D42" s="2">
        <v>1.98871666666666</v>
      </c>
      <c r="E42" s="4">
        <v>1.98871666666666</v>
      </c>
      <c r="F42" t="s">
        <v>40</v>
      </c>
      <c r="G42">
        <v>1.3368500000000001</v>
      </c>
      <c r="H42">
        <v>0.65186666666665993</v>
      </c>
      <c r="I42">
        <v>0.78</v>
      </c>
    </row>
    <row r="43" spans="1:9" x14ac:dyDescent="0.2">
      <c r="A43" s="1">
        <v>43313.5</v>
      </c>
      <c r="B43">
        <v>2859</v>
      </c>
      <c r="C43" s="3">
        <v>0</v>
      </c>
      <c r="D43" s="2">
        <v>0.72926666666666595</v>
      </c>
      <c r="E43" s="4">
        <v>0.72926666666666595</v>
      </c>
      <c r="F43" t="s">
        <v>40</v>
      </c>
      <c r="G43">
        <v>0.43458333333333299</v>
      </c>
      <c r="H43">
        <v>0.29468333333333296</v>
      </c>
      <c r="I43">
        <v>0.76</v>
      </c>
    </row>
    <row r="44" spans="1:9" x14ac:dyDescent="0.2">
      <c r="A44" s="1">
        <v>43313.5</v>
      </c>
      <c r="B44">
        <v>2953</v>
      </c>
      <c r="C44" s="3">
        <v>0</v>
      </c>
      <c r="D44" s="2">
        <v>0.58293333333333297</v>
      </c>
      <c r="E44" s="4">
        <v>0.58293333333333297</v>
      </c>
      <c r="F44" t="s">
        <v>40</v>
      </c>
      <c r="G44">
        <v>0.31898333333333301</v>
      </c>
      <c r="H44">
        <v>0.26394999999999996</v>
      </c>
      <c r="I44">
        <v>0.71</v>
      </c>
    </row>
    <row r="45" spans="1:9" x14ac:dyDescent="0.2">
      <c r="A45" s="1">
        <v>43313.5</v>
      </c>
      <c r="B45">
        <v>3273</v>
      </c>
      <c r="C45" s="3">
        <v>0</v>
      </c>
      <c r="D45" s="2">
        <v>1.52436666666666</v>
      </c>
      <c r="E45" s="4">
        <v>1.52436666666666</v>
      </c>
      <c r="F45" t="s">
        <v>40</v>
      </c>
      <c r="G45">
        <v>0.92308333333333303</v>
      </c>
      <c r="H45">
        <v>0.60128333333332695</v>
      </c>
      <c r="I45">
        <v>0.61</v>
      </c>
    </row>
    <row r="46" spans="1:9" x14ac:dyDescent="0.2">
      <c r="A46" s="1">
        <v>43313.5</v>
      </c>
      <c r="B46">
        <v>3401</v>
      </c>
      <c r="C46" s="3">
        <v>0</v>
      </c>
      <c r="D46" s="2">
        <v>2.60083333333333</v>
      </c>
      <c r="E46" s="4">
        <v>2.60083333333333</v>
      </c>
      <c r="F46" t="s">
        <v>40</v>
      </c>
      <c r="G46">
        <v>2.2450000000000001E-2</v>
      </c>
      <c r="H46">
        <v>2.5783833333333299</v>
      </c>
      <c r="I46">
        <v>0.8</v>
      </c>
    </row>
    <row r="47" spans="1:9" x14ac:dyDescent="0.2">
      <c r="A47" s="1">
        <v>43313.5</v>
      </c>
      <c r="B47">
        <v>3778</v>
      </c>
      <c r="C47" s="3">
        <v>0</v>
      </c>
      <c r="D47" s="2">
        <v>2.5228000000000002</v>
      </c>
      <c r="E47" s="4">
        <v>2.5228000000000002</v>
      </c>
      <c r="F47" t="s">
        <v>40</v>
      </c>
      <c r="G47">
        <v>0.74313333333333265</v>
      </c>
      <c r="H47">
        <v>1.7796666666666674</v>
      </c>
      <c r="I47">
        <v>0.71</v>
      </c>
    </row>
    <row r="48" spans="1:9" x14ac:dyDescent="0.2">
      <c r="A48" s="1">
        <v>43313.5</v>
      </c>
      <c r="B48">
        <v>3831</v>
      </c>
      <c r="C48" s="3">
        <v>0</v>
      </c>
      <c r="D48" s="2">
        <v>2.6496</v>
      </c>
      <c r="E48" s="4">
        <v>2.6496</v>
      </c>
      <c r="F48" t="s">
        <v>40</v>
      </c>
      <c r="G48">
        <v>1.8823666666666601</v>
      </c>
      <c r="H48">
        <v>0.76723333333333987</v>
      </c>
      <c r="I48">
        <v>0.7</v>
      </c>
    </row>
    <row r="49" spans="1:9" x14ac:dyDescent="0.2">
      <c r="A49" s="1">
        <v>43313.5</v>
      </c>
      <c r="B49">
        <v>3893</v>
      </c>
      <c r="C49" s="3">
        <v>0</v>
      </c>
      <c r="D49" s="2">
        <v>1.3923666666666601</v>
      </c>
      <c r="E49" s="4">
        <v>1.3923666666666601</v>
      </c>
      <c r="F49" t="s">
        <v>40</v>
      </c>
      <c r="G49">
        <v>0.52981666666666605</v>
      </c>
      <c r="H49">
        <v>0.86254999999999404</v>
      </c>
      <c r="I49">
        <v>0.8</v>
      </c>
    </row>
    <row r="50" spans="1:9" x14ac:dyDescent="0.2">
      <c r="A50" s="1">
        <v>43313.5</v>
      </c>
      <c r="B50">
        <v>4213</v>
      </c>
      <c r="C50" s="3">
        <v>0</v>
      </c>
      <c r="D50" s="2">
        <v>0.48235</v>
      </c>
      <c r="E50" s="4">
        <v>0.48235</v>
      </c>
      <c r="F50" t="s">
        <v>40</v>
      </c>
      <c r="G50">
        <v>6.1666666666666597E-4</v>
      </c>
      <c r="H50">
        <v>0.48173333333333335</v>
      </c>
      <c r="I50">
        <v>0.69</v>
      </c>
    </row>
    <row r="51" spans="1:9" x14ac:dyDescent="0.2">
      <c r="A51" s="1">
        <v>43313.5</v>
      </c>
      <c r="B51">
        <v>4298</v>
      </c>
      <c r="C51" s="3">
        <v>0</v>
      </c>
      <c r="D51" s="2">
        <v>1.17153333333333</v>
      </c>
      <c r="E51" s="4">
        <v>1.17153333333333</v>
      </c>
      <c r="F51" t="s">
        <v>40</v>
      </c>
      <c r="G51">
        <v>0.63759999999999994</v>
      </c>
      <c r="H51">
        <v>0.53393333333333004</v>
      </c>
      <c r="I51">
        <v>1.01</v>
      </c>
    </row>
    <row r="52" spans="1:9" x14ac:dyDescent="0.2">
      <c r="A52" s="1"/>
      <c r="C52" s="3"/>
      <c r="D52" s="3"/>
      <c r="E52"/>
    </row>
    <row r="53" spans="1:9" x14ac:dyDescent="0.2">
      <c r="A53" s="1"/>
      <c r="C53" s="3"/>
      <c r="D53" s="3"/>
      <c r="E53"/>
    </row>
    <row r="54" spans="1:9" x14ac:dyDescent="0.2">
      <c r="A54" s="1"/>
      <c r="C54" s="3"/>
      <c r="D54" s="3"/>
      <c r="E54"/>
    </row>
    <row r="55" spans="1:9" x14ac:dyDescent="0.2">
      <c r="A55" s="1"/>
      <c r="C55" s="3"/>
      <c r="D55" s="3"/>
      <c r="E55"/>
    </row>
    <row r="56" spans="1:9" x14ac:dyDescent="0.2">
      <c r="A56" s="1"/>
      <c r="C56" s="3"/>
      <c r="D56" s="3"/>
      <c r="E56"/>
    </row>
    <row r="57" spans="1:9" x14ac:dyDescent="0.2">
      <c r="A57" s="1"/>
      <c r="C57" s="3"/>
      <c r="D57" s="3"/>
      <c r="E57"/>
    </row>
    <row r="58" spans="1:9" x14ac:dyDescent="0.2">
      <c r="A58" s="1"/>
      <c r="C58" s="3"/>
      <c r="D58" s="3"/>
      <c r="E58"/>
    </row>
    <row r="59" spans="1:9" x14ac:dyDescent="0.2">
      <c r="A59" s="1"/>
      <c r="C59" s="3"/>
      <c r="D59" s="3"/>
      <c r="E59"/>
    </row>
    <row r="60" spans="1:9" x14ac:dyDescent="0.2">
      <c r="A60" s="1"/>
      <c r="C60" s="3"/>
      <c r="D60" s="3"/>
      <c r="E60"/>
    </row>
    <row r="61" spans="1:9" x14ac:dyDescent="0.2">
      <c r="A61" s="1"/>
      <c r="C61" s="3"/>
      <c r="D61" s="3"/>
      <c r="E61"/>
    </row>
    <row r="62" spans="1:9" x14ac:dyDescent="0.2">
      <c r="A62" s="1"/>
      <c r="C62" s="3"/>
      <c r="D62" s="3"/>
      <c r="E62"/>
    </row>
    <row r="63" spans="1:9" x14ac:dyDescent="0.2">
      <c r="A63" s="1"/>
      <c r="C63" s="3"/>
      <c r="D63" s="3"/>
      <c r="E63"/>
    </row>
    <row r="64" spans="1:9" x14ac:dyDescent="0.2">
      <c r="A64" s="1"/>
      <c r="C64" s="3"/>
      <c r="D64" s="3"/>
      <c r="E64"/>
    </row>
    <row r="17110" spans="1:1" x14ac:dyDescent="0.2">
      <c r="A17110" t="s">
        <v>41</v>
      </c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A43D6-A1C0-0647-BA9D-2E3D2C0CB036}">
  <dimension ref="A1:H17111"/>
  <sheetViews>
    <sheetView topLeftCell="A33" zoomScale="173" workbookViewId="0">
      <selection activeCell="G61" sqref="G61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43313.541666666664</v>
      </c>
      <c r="B2">
        <v>252</v>
      </c>
      <c r="C2" s="3">
        <v>3.1875499999999999</v>
      </c>
      <c r="D2" s="2">
        <v>6.7336166666666601</v>
      </c>
      <c r="E2" s="4">
        <f>D2-C2</f>
        <v>3.5460666666666603</v>
      </c>
      <c r="F2" t="s">
        <v>6</v>
      </c>
      <c r="G2" s="6">
        <v>1E-4</v>
      </c>
      <c r="H2">
        <v>6.7336166666666601</v>
      </c>
    </row>
    <row r="3" spans="1:8" x14ac:dyDescent="0.2">
      <c r="A3" s="1">
        <v>43313.541666666664</v>
      </c>
      <c r="B3">
        <v>379</v>
      </c>
      <c r="C3" s="3">
        <v>3.9473666666666598</v>
      </c>
      <c r="D3" s="2">
        <v>5.6088666666666596</v>
      </c>
      <c r="E3" s="4">
        <f t="shared" ref="E3:E21" si="0">D3-C3</f>
        <v>1.6614999999999998</v>
      </c>
      <c r="F3" t="s">
        <v>6</v>
      </c>
      <c r="G3">
        <v>4.1905499999999973</v>
      </c>
      <c r="H3">
        <v>1.4183166666666622</v>
      </c>
    </row>
    <row r="4" spans="1:8" x14ac:dyDescent="0.2">
      <c r="A4" s="1">
        <v>43313.541666666664</v>
      </c>
      <c r="B4">
        <v>434</v>
      </c>
      <c r="C4" s="3">
        <v>3.6498833333333298</v>
      </c>
      <c r="D4" s="2">
        <v>3.7329833333333302</v>
      </c>
      <c r="E4" s="4">
        <f t="shared" si="0"/>
        <v>8.3100000000000396E-2</v>
      </c>
      <c r="F4" t="s">
        <v>6</v>
      </c>
      <c r="G4">
        <v>2.6400333333333301</v>
      </c>
      <c r="H4">
        <v>1.0929500000000001</v>
      </c>
    </row>
    <row r="5" spans="1:8" x14ac:dyDescent="0.2">
      <c r="A5" s="1">
        <v>43313.541666666664</v>
      </c>
      <c r="B5">
        <v>1718</v>
      </c>
      <c r="C5" s="3">
        <v>3.7717333333333301</v>
      </c>
      <c r="D5" s="2">
        <v>4.3249000000000004</v>
      </c>
      <c r="E5" s="4">
        <f t="shared" si="0"/>
        <v>0.55316666666667036</v>
      </c>
      <c r="F5" t="s">
        <v>6</v>
      </c>
      <c r="G5" s="6">
        <v>1E-4</v>
      </c>
      <c r="H5">
        <v>4.3249000000000004</v>
      </c>
    </row>
    <row r="6" spans="1:8" x14ac:dyDescent="0.2">
      <c r="A6" s="1">
        <v>43313.541666666664</v>
      </c>
      <c r="B6">
        <v>1792</v>
      </c>
      <c r="C6" s="3">
        <v>3.83903333333333</v>
      </c>
      <c r="D6" s="2">
        <v>6.6569333333333303</v>
      </c>
      <c r="E6" s="4">
        <f t="shared" si="0"/>
        <v>2.8179000000000003</v>
      </c>
      <c r="F6" t="s">
        <v>6</v>
      </c>
      <c r="G6" s="6">
        <v>1E-4</v>
      </c>
      <c r="H6">
        <v>6.6569333333333303</v>
      </c>
    </row>
    <row r="7" spans="1:8" x14ac:dyDescent="0.2">
      <c r="A7" s="1">
        <v>43313.541666666664</v>
      </c>
      <c r="B7">
        <v>2925</v>
      </c>
      <c r="C7" s="3">
        <v>5.0799629629629601</v>
      </c>
      <c r="D7" s="2">
        <v>3.6239444444444402</v>
      </c>
      <c r="E7" s="4">
        <f t="shared" si="0"/>
        <v>-1.4560185185185199</v>
      </c>
      <c r="F7" t="s">
        <v>6</v>
      </c>
      <c r="G7" s="6">
        <v>1E-4</v>
      </c>
      <c r="H7">
        <v>3.6239444444444402</v>
      </c>
    </row>
    <row r="8" spans="1:8" x14ac:dyDescent="0.2">
      <c r="A8" s="1">
        <v>43313.541666666664</v>
      </c>
      <c r="B8">
        <v>3649</v>
      </c>
      <c r="C8" s="3">
        <v>4.8467500000000001</v>
      </c>
      <c r="D8" s="2">
        <v>2.5269499999999998</v>
      </c>
      <c r="E8" s="4">
        <f t="shared" si="0"/>
        <v>-2.3198000000000003</v>
      </c>
      <c r="F8" t="s">
        <v>6</v>
      </c>
      <c r="G8">
        <v>0.68559999999999999</v>
      </c>
      <c r="H8">
        <v>1.8413499999999998</v>
      </c>
    </row>
    <row r="9" spans="1:8" x14ac:dyDescent="0.2">
      <c r="A9" s="1">
        <v>43313.541666666664</v>
      </c>
      <c r="B9">
        <v>4357</v>
      </c>
      <c r="C9" s="3">
        <v>2.50345</v>
      </c>
      <c r="D9" s="2">
        <v>2.0946666666666598</v>
      </c>
      <c r="E9" s="4">
        <f t="shared" si="0"/>
        <v>-0.40878333333334016</v>
      </c>
      <c r="F9" t="s">
        <v>6</v>
      </c>
      <c r="G9">
        <v>1.2872000000000001</v>
      </c>
      <c r="H9">
        <v>0.80746666666665967</v>
      </c>
    </row>
    <row r="10" spans="1:8" x14ac:dyDescent="0.2">
      <c r="A10" s="1">
        <v>43313.541666666664</v>
      </c>
      <c r="B10">
        <v>4874</v>
      </c>
      <c r="C10" s="3">
        <v>2.44815</v>
      </c>
      <c r="D10" s="2">
        <v>4.4067666666666598</v>
      </c>
      <c r="E10" s="4">
        <f t="shared" si="0"/>
        <v>1.9586166666666598</v>
      </c>
      <c r="F10" t="s">
        <v>6</v>
      </c>
      <c r="G10">
        <v>2.76508333333333</v>
      </c>
      <c r="H10">
        <v>1.6416833333333298</v>
      </c>
    </row>
    <row r="11" spans="1:8" x14ac:dyDescent="0.2">
      <c r="A11" s="1">
        <v>43313.541666666664</v>
      </c>
      <c r="B11">
        <v>5035</v>
      </c>
      <c r="C11" s="3">
        <v>1.7483500000000001</v>
      </c>
      <c r="D11" s="2">
        <v>3.97813333333333</v>
      </c>
      <c r="E11" s="4">
        <f t="shared" si="0"/>
        <v>2.2297833333333301</v>
      </c>
      <c r="F11" t="s">
        <v>6</v>
      </c>
      <c r="G11" s="6">
        <v>1E-4</v>
      </c>
      <c r="H11">
        <v>3.97813333333333</v>
      </c>
    </row>
    <row r="12" spans="1:8" x14ac:dyDescent="0.2">
      <c r="A12" s="1">
        <v>43313.541666666664</v>
      </c>
      <c r="B12">
        <v>93</v>
      </c>
      <c r="C12" s="3">
        <v>3.42058333333333</v>
      </c>
      <c r="D12" s="2">
        <v>0.4491</v>
      </c>
      <c r="E12" s="4">
        <f t="shared" si="0"/>
        <v>-2.9714833333333299</v>
      </c>
      <c r="F12" t="s">
        <v>7</v>
      </c>
      <c r="G12">
        <v>2.8E-3</v>
      </c>
      <c r="H12">
        <v>0.44629999999999997</v>
      </c>
    </row>
    <row r="13" spans="1:8" x14ac:dyDescent="0.2">
      <c r="A13" s="1">
        <v>43313.541666666664</v>
      </c>
      <c r="B13">
        <v>171</v>
      </c>
      <c r="C13" s="3">
        <v>3.67205</v>
      </c>
      <c r="D13" s="2">
        <v>1.8893833333333301</v>
      </c>
      <c r="E13" s="4">
        <f t="shared" si="0"/>
        <v>-1.78266666666667</v>
      </c>
      <c r="F13" t="s">
        <v>7</v>
      </c>
      <c r="G13" s="6">
        <v>1E-4</v>
      </c>
      <c r="H13">
        <v>1.8893833333333301</v>
      </c>
    </row>
    <row r="14" spans="1:8" x14ac:dyDescent="0.2">
      <c r="A14" s="1">
        <v>43313.541666666664</v>
      </c>
      <c r="B14">
        <v>668</v>
      </c>
      <c r="C14" s="3">
        <v>3.93523333333333</v>
      </c>
      <c r="D14" s="2">
        <v>3.2942499999999999</v>
      </c>
      <c r="E14" s="4">
        <f t="shared" si="0"/>
        <v>-0.64098333333333013</v>
      </c>
      <c r="F14" t="s">
        <v>7</v>
      </c>
      <c r="G14">
        <v>1.7842833333333301</v>
      </c>
      <c r="H14">
        <v>1.5099666666666698</v>
      </c>
    </row>
    <row r="15" spans="1:8" x14ac:dyDescent="0.2">
      <c r="A15" s="1">
        <v>43313.541666666664</v>
      </c>
      <c r="B15">
        <v>781</v>
      </c>
      <c r="C15" s="3">
        <v>3.5694833333333298</v>
      </c>
      <c r="D15" s="2">
        <v>1.09958333333333</v>
      </c>
      <c r="E15" s="4">
        <f t="shared" si="0"/>
        <v>-2.4699</v>
      </c>
      <c r="F15" t="s">
        <v>7</v>
      </c>
      <c r="G15">
        <v>0.51786666666666603</v>
      </c>
      <c r="H15">
        <v>0.581716666666664</v>
      </c>
    </row>
    <row r="16" spans="1:8" x14ac:dyDescent="0.2">
      <c r="A16" s="1">
        <v>43313.541666666664</v>
      </c>
      <c r="B16">
        <v>974</v>
      </c>
      <c r="C16" s="3">
        <v>4.1933833333333297</v>
      </c>
      <c r="D16" s="2">
        <v>5.3767500000000004</v>
      </c>
      <c r="E16" s="4">
        <f t="shared" si="0"/>
        <v>1.1833666666666707</v>
      </c>
      <c r="F16" t="s">
        <v>7</v>
      </c>
      <c r="G16">
        <v>4.0933333333333266</v>
      </c>
      <c r="H16">
        <v>1.2834166666666738</v>
      </c>
    </row>
    <row r="17" spans="1:8" x14ac:dyDescent="0.2">
      <c r="A17" s="1">
        <v>43313.541666666664</v>
      </c>
      <c r="B17">
        <v>1192</v>
      </c>
      <c r="C17" s="3">
        <v>3.7046666666666601</v>
      </c>
      <c r="D17" s="2">
        <v>1.8646499999999999</v>
      </c>
      <c r="E17" s="4">
        <f t="shared" si="0"/>
        <v>-1.8400166666666602</v>
      </c>
      <c r="F17" t="s">
        <v>7</v>
      </c>
      <c r="G17">
        <v>1.27036666666666</v>
      </c>
      <c r="H17">
        <v>0.59428333333333994</v>
      </c>
    </row>
    <row r="18" spans="1:8" x14ac:dyDescent="0.2">
      <c r="A18" s="1">
        <v>43313.541666666664</v>
      </c>
      <c r="B18">
        <v>1354</v>
      </c>
      <c r="C18" s="3">
        <v>3.9727999999999999</v>
      </c>
      <c r="D18" s="2">
        <v>0.30704999999999999</v>
      </c>
      <c r="E18" s="4">
        <f t="shared" si="0"/>
        <v>-3.6657500000000001</v>
      </c>
      <c r="F18" t="s">
        <v>7</v>
      </c>
      <c r="G18">
        <v>2.8E-3</v>
      </c>
      <c r="H18">
        <v>0.30424999999999996</v>
      </c>
    </row>
    <row r="19" spans="1:8" x14ac:dyDescent="0.2">
      <c r="A19" s="1">
        <v>43313.541666666664</v>
      </c>
      <c r="B19">
        <v>1714</v>
      </c>
      <c r="C19" s="3">
        <v>3.1748833333333302</v>
      </c>
      <c r="D19" s="2">
        <v>3.8375666666666599</v>
      </c>
      <c r="E19" s="4">
        <f t="shared" si="0"/>
        <v>0.66268333333332974</v>
      </c>
      <c r="F19" t="s">
        <v>7</v>
      </c>
      <c r="G19">
        <v>2.8492333333333235</v>
      </c>
      <c r="H19">
        <v>0.98833333333333639</v>
      </c>
    </row>
    <row r="20" spans="1:8" x14ac:dyDescent="0.2">
      <c r="A20" s="1">
        <v>43313.541666666664</v>
      </c>
      <c r="B20">
        <v>1800</v>
      </c>
      <c r="C20" s="3">
        <v>5.4794999999999998</v>
      </c>
      <c r="D20" s="2">
        <v>3.9467333333333299</v>
      </c>
      <c r="E20" s="4">
        <f t="shared" si="0"/>
        <v>-1.5327666666666699</v>
      </c>
      <c r="F20" t="s">
        <v>7</v>
      </c>
      <c r="G20">
        <v>2.6656166666666601</v>
      </c>
      <c r="H20">
        <v>1.2811166666666698</v>
      </c>
    </row>
    <row r="21" spans="1:8" x14ac:dyDescent="0.2">
      <c r="A21" s="1">
        <v>43313.541666666664</v>
      </c>
      <c r="B21">
        <v>2129</v>
      </c>
      <c r="C21" s="3">
        <v>3.6779166666666598</v>
      </c>
      <c r="D21" s="2">
        <v>2.5331000000000001</v>
      </c>
      <c r="E21" s="4">
        <f t="shared" si="0"/>
        <v>-1.1448166666666597</v>
      </c>
      <c r="F21" t="s">
        <v>7</v>
      </c>
      <c r="G21">
        <v>1.2596833333333299</v>
      </c>
      <c r="H21">
        <v>1.2734166666666702</v>
      </c>
    </row>
    <row r="22" spans="1:8" x14ac:dyDescent="0.2">
      <c r="A22" s="1">
        <v>43313.541666666664</v>
      </c>
      <c r="B22">
        <v>59</v>
      </c>
      <c r="C22" s="3">
        <v>0</v>
      </c>
      <c r="D22" s="2">
        <v>2.1098833333333298</v>
      </c>
      <c r="E22" s="4">
        <f t="shared" ref="E22:E64" si="1">D22-C22</f>
        <v>2.1098833333333298</v>
      </c>
      <c r="F22" t="s">
        <v>8</v>
      </c>
      <c r="G22">
        <v>0.988916666666666</v>
      </c>
      <c r="H22">
        <v>1.1209666666666638</v>
      </c>
    </row>
    <row r="23" spans="1:8" x14ac:dyDescent="0.2">
      <c r="A23" s="1">
        <v>43313.541666666664</v>
      </c>
      <c r="B23">
        <v>86</v>
      </c>
      <c r="C23" s="3">
        <v>0</v>
      </c>
      <c r="D23" s="2">
        <v>2.1917499999999999</v>
      </c>
      <c r="E23" s="4">
        <f t="shared" si="1"/>
        <v>2.1917499999999999</v>
      </c>
      <c r="F23" t="s">
        <v>8</v>
      </c>
      <c r="G23">
        <v>1.3734999999999966</v>
      </c>
      <c r="H23">
        <v>0.81825000000000325</v>
      </c>
    </row>
    <row r="24" spans="1:8" x14ac:dyDescent="0.2">
      <c r="A24" s="1">
        <v>43313.541666666664</v>
      </c>
      <c r="B24">
        <v>94</v>
      </c>
      <c r="C24" s="3">
        <v>0</v>
      </c>
      <c r="D24" s="2">
        <v>1.0841666666666601</v>
      </c>
      <c r="E24" s="4">
        <f t="shared" si="1"/>
        <v>1.0841666666666601</v>
      </c>
      <c r="F24" t="s">
        <v>8</v>
      </c>
      <c r="G24">
        <v>0.31448333333333267</v>
      </c>
      <c r="H24">
        <v>0.76968333333332739</v>
      </c>
    </row>
    <row r="25" spans="1:8" x14ac:dyDescent="0.2">
      <c r="A25" s="1">
        <v>43313.541666666664</v>
      </c>
      <c r="B25">
        <v>115</v>
      </c>
      <c r="C25" s="3">
        <v>0</v>
      </c>
      <c r="D25" s="2">
        <v>1.0602</v>
      </c>
      <c r="E25" s="4">
        <f t="shared" si="1"/>
        <v>1.0602</v>
      </c>
      <c r="F25" t="s">
        <v>8</v>
      </c>
      <c r="G25">
        <v>0.64085000000000003</v>
      </c>
      <c r="H25">
        <v>0.41935</v>
      </c>
    </row>
    <row r="26" spans="1:8" x14ac:dyDescent="0.2">
      <c r="A26" s="1">
        <v>43313.541666666664</v>
      </c>
      <c r="B26">
        <v>503</v>
      </c>
      <c r="C26" s="3">
        <v>0</v>
      </c>
      <c r="D26" s="2">
        <v>2.6029</v>
      </c>
      <c r="E26" s="4">
        <f t="shared" si="1"/>
        <v>2.6029</v>
      </c>
      <c r="F26" t="s">
        <v>8</v>
      </c>
      <c r="G26">
        <v>2.0491999999999999</v>
      </c>
      <c r="H26">
        <v>0.55370000000000008</v>
      </c>
    </row>
    <row r="27" spans="1:8" x14ac:dyDescent="0.2">
      <c r="A27" s="1">
        <v>43313.541666666664</v>
      </c>
      <c r="B27">
        <v>621</v>
      </c>
      <c r="C27" s="3">
        <v>0</v>
      </c>
      <c r="D27" s="2">
        <v>1.31365</v>
      </c>
      <c r="E27" s="4">
        <f t="shared" si="1"/>
        <v>1.31365</v>
      </c>
      <c r="F27" t="s">
        <v>8</v>
      </c>
      <c r="G27">
        <v>0.65026666666666599</v>
      </c>
      <c r="H27">
        <v>0.66338333333333399</v>
      </c>
    </row>
    <row r="28" spans="1:8" x14ac:dyDescent="0.2">
      <c r="A28" s="1">
        <v>43313.541666666664</v>
      </c>
      <c r="B28">
        <v>871</v>
      </c>
      <c r="C28" s="3">
        <v>0</v>
      </c>
      <c r="D28" s="2">
        <v>1.86516666666666</v>
      </c>
      <c r="E28" s="4">
        <f t="shared" si="1"/>
        <v>1.86516666666666</v>
      </c>
      <c r="F28" t="s">
        <v>8</v>
      </c>
      <c r="G28">
        <v>1.2694833333333333</v>
      </c>
      <c r="H28">
        <v>0.59568333333332668</v>
      </c>
    </row>
    <row r="29" spans="1:8" x14ac:dyDescent="0.2">
      <c r="A29" s="1">
        <v>43313.541666666664</v>
      </c>
      <c r="B29">
        <v>930</v>
      </c>
      <c r="C29" s="3">
        <v>0</v>
      </c>
      <c r="D29" s="2">
        <v>4.0295333333333296</v>
      </c>
      <c r="E29" s="4">
        <f t="shared" si="1"/>
        <v>4.0295333333333296</v>
      </c>
      <c r="F29" t="s">
        <v>8</v>
      </c>
      <c r="G29">
        <v>2.0505166666666601</v>
      </c>
      <c r="H29">
        <v>1.9790166666666695</v>
      </c>
    </row>
    <row r="30" spans="1:8" x14ac:dyDescent="0.2">
      <c r="A30" s="1">
        <v>43313.541666666664</v>
      </c>
      <c r="B30">
        <v>946</v>
      </c>
      <c r="C30" s="3">
        <v>0</v>
      </c>
      <c r="D30" s="2">
        <v>1.2654666666666601</v>
      </c>
      <c r="E30" s="4">
        <f t="shared" si="1"/>
        <v>1.2654666666666601</v>
      </c>
      <c r="F30" t="s">
        <v>8</v>
      </c>
      <c r="G30">
        <v>0.64506666666666601</v>
      </c>
      <c r="H30">
        <v>0.62039999999999407</v>
      </c>
    </row>
    <row r="31" spans="1:8" x14ac:dyDescent="0.2">
      <c r="A31" s="1">
        <v>43313.541666666664</v>
      </c>
      <c r="B31">
        <v>994</v>
      </c>
      <c r="C31" s="3">
        <v>0</v>
      </c>
      <c r="D31" s="2">
        <v>0.37208333333333299</v>
      </c>
      <c r="E31" s="4">
        <f t="shared" si="1"/>
        <v>0.37208333333333299</v>
      </c>
      <c r="F31" t="s">
        <v>8</v>
      </c>
      <c r="G31">
        <v>5.0000000000000001E-3</v>
      </c>
      <c r="H31">
        <v>0.36708333333333298</v>
      </c>
    </row>
    <row r="32" spans="1:8" x14ac:dyDescent="0.2">
      <c r="A32" s="1">
        <v>43313.541666666664</v>
      </c>
      <c r="B32">
        <v>1086</v>
      </c>
      <c r="C32" s="3">
        <v>0</v>
      </c>
      <c r="D32" s="2">
        <v>0.50213333333333299</v>
      </c>
      <c r="E32" s="4">
        <f t="shared" si="1"/>
        <v>0.50213333333333299</v>
      </c>
      <c r="F32" t="s">
        <v>8</v>
      </c>
      <c r="G32">
        <v>9.6166666666666657E-3</v>
      </c>
      <c r="H32">
        <v>0.49251666666666633</v>
      </c>
    </row>
    <row r="33" spans="1:8" x14ac:dyDescent="0.2">
      <c r="A33" s="1">
        <v>43313.541666666664</v>
      </c>
      <c r="B33">
        <v>1202</v>
      </c>
      <c r="C33" s="3">
        <v>0</v>
      </c>
      <c r="D33" s="2">
        <v>2.4147833333333302</v>
      </c>
      <c r="E33" s="4">
        <f t="shared" si="1"/>
        <v>2.4147833333333302</v>
      </c>
      <c r="F33" t="s">
        <v>8</v>
      </c>
      <c r="G33">
        <v>0.54323333333333335</v>
      </c>
      <c r="H33">
        <v>1.8715499999999969</v>
      </c>
    </row>
    <row r="34" spans="1:8" x14ac:dyDescent="0.2">
      <c r="A34" s="1">
        <v>43313.541666666664</v>
      </c>
      <c r="B34">
        <v>1334</v>
      </c>
      <c r="C34" s="3">
        <v>0</v>
      </c>
      <c r="D34" s="2">
        <v>1.9491000000000001</v>
      </c>
      <c r="E34" s="4">
        <f t="shared" si="1"/>
        <v>1.9491000000000001</v>
      </c>
      <c r="F34" t="s">
        <v>8</v>
      </c>
      <c r="G34">
        <v>1.2214</v>
      </c>
      <c r="H34">
        <v>0.72770000000000001</v>
      </c>
    </row>
    <row r="35" spans="1:8" x14ac:dyDescent="0.2">
      <c r="A35" s="1">
        <v>43313.541666666664</v>
      </c>
      <c r="B35">
        <v>1500</v>
      </c>
      <c r="C35" s="3">
        <v>0</v>
      </c>
      <c r="D35" s="2">
        <v>1.64181666666666</v>
      </c>
      <c r="E35" s="4">
        <f t="shared" si="1"/>
        <v>1.64181666666666</v>
      </c>
      <c r="F35" t="s">
        <v>8</v>
      </c>
      <c r="G35">
        <v>0.90554999999999997</v>
      </c>
      <c r="H35">
        <v>0.73626666666666007</v>
      </c>
    </row>
    <row r="36" spans="1:8" x14ac:dyDescent="0.2">
      <c r="A36" s="1">
        <v>43313.541666666664</v>
      </c>
      <c r="B36">
        <v>1507</v>
      </c>
      <c r="C36" s="3">
        <v>0</v>
      </c>
      <c r="D36" s="2">
        <v>6.6878000000000002</v>
      </c>
      <c r="E36" s="4">
        <f t="shared" si="1"/>
        <v>6.6878000000000002</v>
      </c>
      <c r="F36" t="s">
        <v>8</v>
      </c>
      <c r="G36">
        <v>2.9633333333333298</v>
      </c>
      <c r="H36">
        <v>3.7244666666666704</v>
      </c>
    </row>
    <row r="37" spans="1:8" x14ac:dyDescent="0.2">
      <c r="A37" s="1">
        <v>43313.541666666664</v>
      </c>
      <c r="B37">
        <v>1796</v>
      </c>
      <c r="C37" s="3">
        <v>0</v>
      </c>
      <c r="D37" s="2">
        <v>9.375E-2</v>
      </c>
      <c r="E37" s="4">
        <f t="shared" si="1"/>
        <v>9.375E-2</v>
      </c>
      <c r="F37" t="s">
        <v>8</v>
      </c>
      <c r="G37" s="6">
        <v>1E-4</v>
      </c>
      <c r="H37">
        <v>9.375E-2</v>
      </c>
    </row>
    <row r="38" spans="1:8" x14ac:dyDescent="0.2">
      <c r="A38" s="1">
        <v>43313.541666666664</v>
      </c>
      <c r="B38">
        <v>2004</v>
      </c>
      <c r="C38" s="3">
        <v>0</v>
      </c>
      <c r="D38" s="2">
        <v>2.49275</v>
      </c>
      <c r="E38" s="4">
        <f t="shared" si="1"/>
        <v>2.49275</v>
      </c>
      <c r="F38" t="s">
        <v>8</v>
      </c>
      <c r="G38">
        <v>1.4287166666666633</v>
      </c>
      <c r="H38">
        <v>1.0640333333333367</v>
      </c>
    </row>
    <row r="39" spans="1:8" x14ac:dyDescent="0.2">
      <c r="A39" s="1">
        <v>43313.541666666664</v>
      </c>
      <c r="B39">
        <v>2034</v>
      </c>
      <c r="C39" s="3">
        <v>0</v>
      </c>
      <c r="D39" s="2">
        <v>4.9558</v>
      </c>
      <c r="E39" s="4">
        <f t="shared" si="1"/>
        <v>4.9558</v>
      </c>
      <c r="F39" t="s">
        <v>8</v>
      </c>
      <c r="G39">
        <v>3.499566666666666</v>
      </c>
      <c r="H39">
        <v>1.4562333333333339</v>
      </c>
    </row>
    <row r="40" spans="1:8" x14ac:dyDescent="0.2">
      <c r="A40" s="1">
        <v>43313.541666666664</v>
      </c>
      <c r="B40">
        <v>2158</v>
      </c>
      <c r="C40" s="3">
        <v>0</v>
      </c>
      <c r="D40" s="2">
        <v>5.8131833333333303</v>
      </c>
      <c r="E40" s="4">
        <f t="shared" si="1"/>
        <v>5.8131833333333303</v>
      </c>
      <c r="F40" t="s">
        <v>8</v>
      </c>
      <c r="G40">
        <v>4.5872666666666602</v>
      </c>
      <c r="H40">
        <v>1.2259166666666701</v>
      </c>
    </row>
    <row r="41" spans="1:8" x14ac:dyDescent="0.2">
      <c r="A41" s="1">
        <v>43313.541666666664</v>
      </c>
      <c r="B41">
        <v>2378</v>
      </c>
      <c r="C41" s="3">
        <v>0</v>
      </c>
      <c r="D41" s="2">
        <v>1.4908666666666599</v>
      </c>
      <c r="E41" s="4">
        <f t="shared" si="1"/>
        <v>1.4908666666666599</v>
      </c>
      <c r="F41" t="s">
        <v>8</v>
      </c>
      <c r="G41">
        <v>1.295E-2</v>
      </c>
      <c r="H41">
        <v>1.4779166666666599</v>
      </c>
    </row>
    <row r="42" spans="1:8" x14ac:dyDescent="0.2">
      <c r="A42" s="1">
        <v>43313.541666666664</v>
      </c>
      <c r="B42">
        <v>2472</v>
      </c>
      <c r="C42" s="3">
        <v>0</v>
      </c>
      <c r="D42" s="2">
        <v>1.9239166666666601</v>
      </c>
      <c r="E42" s="4">
        <f t="shared" si="1"/>
        <v>1.9239166666666601</v>
      </c>
      <c r="F42" t="s">
        <v>8</v>
      </c>
      <c r="G42">
        <v>1.33971666666666</v>
      </c>
      <c r="H42">
        <v>0.58420000000000005</v>
      </c>
    </row>
    <row r="43" spans="1:8" x14ac:dyDescent="0.2">
      <c r="A43" s="1">
        <v>43313.541666666664</v>
      </c>
      <c r="B43">
        <v>2859</v>
      </c>
      <c r="C43" s="3">
        <v>0</v>
      </c>
      <c r="D43" s="2">
        <v>1.2161</v>
      </c>
      <c r="E43" s="4">
        <f t="shared" si="1"/>
        <v>1.2161</v>
      </c>
      <c r="F43" t="s">
        <v>8</v>
      </c>
      <c r="G43">
        <v>0.67625000000000002</v>
      </c>
      <c r="H43">
        <v>0.53984999999999994</v>
      </c>
    </row>
    <row r="44" spans="1:8" x14ac:dyDescent="0.2">
      <c r="A44" s="1">
        <v>43313.541666666664</v>
      </c>
      <c r="B44">
        <v>2953</v>
      </c>
      <c r="C44" s="3">
        <v>0</v>
      </c>
      <c r="D44" s="2">
        <v>1.28688333333333</v>
      </c>
      <c r="E44" s="4">
        <f t="shared" si="1"/>
        <v>1.28688333333333</v>
      </c>
      <c r="F44" t="s">
        <v>8</v>
      </c>
      <c r="G44">
        <v>0.80620000000000003</v>
      </c>
      <c r="H44">
        <v>0.48068333333333002</v>
      </c>
    </row>
    <row r="45" spans="1:8" x14ac:dyDescent="0.2">
      <c r="A45" s="1">
        <v>43313.541666666664</v>
      </c>
      <c r="B45">
        <v>3273</v>
      </c>
      <c r="C45" s="3">
        <v>0</v>
      </c>
      <c r="D45" s="2">
        <v>0.348816666666666</v>
      </c>
      <c r="E45" s="4">
        <f t="shared" si="1"/>
        <v>0.348816666666666</v>
      </c>
      <c r="F45" t="s">
        <v>8</v>
      </c>
      <c r="G45" s="6">
        <v>1E-4</v>
      </c>
      <c r="H45">
        <v>0.348816666666666</v>
      </c>
    </row>
    <row r="46" spans="1:8" x14ac:dyDescent="0.2">
      <c r="A46" s="1">
        <v>43313.541666666664</v>
      </c>
      <c r="B46">
        <v>3401</v>
      </c>
      <c r="C46" s="3">
        <v>0</v>
      </c>
      <c r="D46" s="2">
        <v>3.0387</v>
      </c>
      <c r="E46" s="4">
        <f t="shared" si="1"/>
        <v>3.0387</v>
      </c>
      <c r="F46" t="s">
        <v>8</v>
      </c>
      <c r="G46">
        <v>2.2849999999999999E-2</v>
      </c>
      <c r="H46">
        <v>3.0158499999999999</v>
      </c>
    </row>
    <row r="47" spans="1:8" x14ac:dyDescent="0.2">
      <c r="A47" s="1">
        <v>43313.541666666664</v>
      </c>
      <c r="B47">
        <v>3778</v>
      </c>
      <c r="C47" s="3">
        <v>0</v>
      </c>
      <c r="D47" s="2">
        <v>1.5125833333333301</v>
      </c>
      <c r="E47" s="4">
        <f t="shared" si="1"/>
        <v>1.5125833333333301</v>
      </c>
      <c r="F47" t="s">
        <v>8</v>
      </c>
      <c r="G47">
        <v>0.85116666666666596</v>
      </c>
      <c r="H47">
        <v>0.6614166666666641</v>
      </c>
    </row>
    <row r="48" spans="1:8" x14ac:dyDescent="0.2">
      <c r="A48" s="1">
        <v>43313.541666666664</v>
      </c>
      <c r="B48">
        <v>3831</v>
      </c>
      <c r="C48" s="3">
        <v>0</v>
      </c>
      <c r="D48" s="2">
        <v>2.6370833333333299</v>
      </c>
      <c r="E48" s="4">
        <f t="shared" si="1"/>
        <v>2.6370833333333299</v>
      </c>
      <c r="F48" t="s">
        <v>8</v>
      </c>
      <c r="G48">
        <v>1.9412499999999999</v>
      </c>
      <c r="H48">
        <v>0.69583333333332997</v>
      </c>
    </row>
    <row r="49" spans="1:8" x14ac:dyDescent="0.2">
      <c r="A49" s="1">
        <v>43313.541666666664</v>
      </c>
      <c r="B49">
        <v>3893</v>
      </c>
      <c r="C49" s="3">
        <v>0</v>
      </c>
      <c r="D49" s="2">
        <v>2.7468333333333299</v>
      </c>
      <c r="E49" s="4">
        <f t="shared" si="1"/>
        <v>2.7468333333333299</v>
      </c>
      <c r="F49" t="s">
        <v>8</v>
      </c>
      <c r="G49">
        <v>1.12066666666666</v>
      </c>
      <c r="H49">
        <v>1.6261666666666699</v>
      </c>
    </row>
    <row r="50" spans="1:8" x14ac:dyDescent="0.2">
      <c r="A50" s="1">
        <v>43313.541666666664</v>
      </c>
      <c r="B50">
        <v>4213</v>
      </c>
      <c r="C50" s="3">
        <v>0</v>
      </c>
      <c r="D50" s="2">
        <v>0.36945</v>
      </c>
      <c r="E50" s="4">
        <f t="shared" si="1"/>
        <v>0.36945</v>
      </c>
      <c r="F50" t="s">
        <v>8</v>
      </c>
      <c r="G50" s="6">
        <v>1E-4</v>
      </c>
      <c r="H50">
        <v>0.36945</v>
      </c>
    </row>
    <row r="51" spans="1:8" x14ac:dyDescent="0.2">
      <c r="A51" s="1">
        <v>43313.541666666664</v>
      </c>
      <c r="B51">
        <v>4298</v>
      </c>
      <c r="C51" s="3">
        <v>0</v>
      </c>
      <c r="D51" s="2">
        <v>1.89215</v>
      </c>
      <c r="E51" s="4">
        <f t="shared" si="1"/>
        <v>1.89215</v>
      </c>
      <c r="F51" t="s">
        <v>8</v>
      </c>
      <c r="G51">
        <v>1.2369666666666601</v>
      </c>
      <c r="H51">
        <v>0.65518333333333989</v>
      </c>
    </row>
    <row r="52" spans="1:8" x14ac:dyDescent="0.2">
      <c r="A52" s="1">
        <v>43313.541666666664</v>
      </c>
      <c r="B52">
        <v>370</v>
      </c>
      <c r="C52" s="3" t="e">
        <f t="array" ref="C52">VLOOKUP(A52&amp;B52,IF({1,0},#REF!&amp;#REF!,#REF!),2,FALSE)</f>
        <v>#N/A</v>
      </c>
      <c r="D52" s="3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1.6184833333333266</v>
      </c>
      <c r="H52">
        <v>1.3466000000000036</v>
      </c>
    </row>
    <row r="53" spans="1:8" x14ac:dyDescent="0.2">
      <c r="A53" s="1">
        <v>43313.541666666664</v>
      </c>
      <c r="B53">
        <v>2638</v>
      </c>
      <c r="C53" s="3" t="e">
        <f t="array" ref="C53">VLOOKUP(A53&amp;B53,IF({1,0},#REF!&amp;#REF!,#REF!),2,FALSE)</f>
        <v>#N/A</v>
      </c>
      <c r="D53" s="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1.1949333333333301</v>
      </c>
      <c r="H53">
        <v>0.81009999999999982</v>
      </c>
    </row>
    <row r="54" spans="1:8" x14ac:dyDescent="0.2">
      <c r="A54" s="1">
        <v>43313.541666666664</v>
      </c>
      <c r="B54">
        <v>3482</v>
      </c>
      <c r="C54" s="3" t="e">
        <f t="array" ref="C54">VLOOKUP(A54&amp;B54,IF({1,0},#REF!&amp;#REF!,#REF!),2,FALSE)</f>
        <v>#N/A</v>
      </c>
      <c r="D54" s="3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0.28041666666666665</v>
      </c>
      <c r="H54">
        <v>0.45934999999999937</v>
      </c>
    </row>
    <row r="55" spans="1:8" x14ac:dyDescent="0.2">
      <c r="A55" s="1">
        <v>43313.541666666664</v>
      </c>
      <c r="B55">
        <v>3723</v>
      </c>
      <c r="C55" s="3" t="e">
        <f t="array" ref="C55">VLOOKUP(A55&amp;B55,IF({1,0},#REF!&amp;#REF!,#REF!),2,FALSE)</f>
        <v>#N/A</v>
      </c>
      <c r="D55" s="3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1.61493333333333</v>
      </c>
      <c r="H55">
        <v>0.74958333333333016</v>
      </c>
    </row>
    <row r="56" spans="1:8" x14ac:dyDescent="0.2">
      <c r="A56" s="1">
        <v>43313.541666666664</v>
      </c>
      <c r="B56">
        <v>3967</v>
      </c>
      <c r="C56" s="3" t="e">
        <f t="array" ref="C56">VLOOKUP(A56&amp;B56,IF({1,0},#REF!&amp;#REF!,#REF!),2,FALSE)</f>
        <v>#N/A</v>
      </c>
      <c r="D56" s="3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4.83656666666666</v>
      </c>
      <c r="H56">
        <v>1.0512166666666696</v>
      </c>
    </row>
    <row r="57" spans="1:8" x14ac:dyDescent="0.2">
      <c r="A57" s="1">
        <v>43313.541666666664</v>
      </c>
      <c r="B57">
        <v>4998</v>
      </c>
      <c r="C57" s="3" t="e">
        <f t="array" ref="C57">VLOOKUP(A57&amp;B57,IF({1,0},#REF!&amp;#REF!,#REF!),2,FALSE)</f>
        <v>#N/A</v>
      </c>
      <c r="D57" s="3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2.0432000000000001</v>
      </c>
      <c r="H57">
        <v>0.98576666666666002</v>
      </c>
    </row>
    <row r="58" spans="1:8" x14ac:dyDescent="0.2">
      <c r="A58" s="1">
        <v>43313.541666666664</v>
      </c>
      <c r="B58">
        <v>5749</v>
      </c>
      <c r="C58" s="3" t="e">
        <f t="array" ref="C58">VLOOKUP(A58&amp;B58,IF({1,0},#REF!&amp;#REF!,#REF!),2,FALSE)</f>
        <v>#N/A</v>
      </c>
      <c r="D58" s="3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2.5263666666666595</v>
      </c>
      <c r="H58">
        <v>1.5963166666666706</v>
      </c>
    </row>
    <row r="59" spans="1:8" x14ac:dyDescent="0.2">
      <c r="A59" s="1">
        <v>43313.541666666664</v>
      </c>
      <c r="B59">
        <v>6248</v>
      </c>
      <c r="C59" s="3" t="e">
        <f t="array" ref="C59">VLOOKUP(A59&amp;B59,IF({1,0},#REF!&amp;#REF!,#REF!),2,FALSE)</f>
        <v>#N/A</v>
      </c>
      <c r="D59" s="3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6.1576166666666605</v>
      </c>
      <c r="H59">
        <v>4.7055999999999401</v>
      </c>
    </row>
    <row r="60" spans="1:8" x14ac:dyDescent="0.2">
      <c r="A60" s="1">
        <v>43313.541666666664</v>
      </c>
      <c r="B60">
        <v>6691</v>
      </c>
      <c r="C60" s="3" t="e">
        <f t="array" ref="C60">VLOOKUP(A60&amp;B60,IF({1,0},#REF!&amp;#REF!,#REF!),2,FALSE)</f>
        <v>#N/A</v>
      </c>
      <c r="D60" s="3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2.8029666666666597</v>
      </c>
      <c r="H60">
        <v>1.5646333333333406</v>
      </c>
    </row>
    <row r="61" spans="1:8" x14ac:dyDescent="0.2">
      <c r="A61" s="1">
        <v>43313.541666666664</v>
      </c>
      <c r="B61">
        <v>7024</v>
      </c>
      <c r="C61" s="3" t="e">
        <f t="array" ref="C61">VLOOKUP(A61&amp;B61,IF({1,0},#REF!&amp;#REF!,#REF!),2,FALSE)</f>
        <v>#N/A</v>
      </c>
      <c r="D61" s="3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 s="6">
        <v>1E-4</v>
      </c>
      <c r="H61">
        <v>0.37035000000000001</v>
      </c>
    </row>
    <row r="62" spans="1:8" x14ac:dyDescent="0.2">
      <c r="A62" s="1">
        <v>43313.541666666664</v>
      </c>
      <c r="B62">
        <v>7875</v>
      </c>
      <c r="C62" s="3" t="e">
        <f t="array" ref="C62">VLOOKUP(A62&amp;B62,IF({1,0},#REF!&amp;#REF!,#REF!),2,FALSE)</f>
        <v>#N/A</v>
      </c>
      <c r="D62" s="3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0.91516666666666635</v>
      </c>
      <c r="H62">
        <v>0.52983333333333371</v>
      </c>
    </row>
    <row r="63" spans="1:8" x14ac:dyDescent="0.2">
      <c r="A63" s="1">
        <v>43313.541666666664</v>
      </c>
      <c r="B63">
        <v>8236</v>
      </c>
      <c r="C63" s="3" t="e">
        <f t="array" ref="C63">VLOOKUP(A63&amp;B63,IF({1,0},#REF!&amp;#REF!,#REF!),2,FALSE)</f>
        <v>#N/A</v>
      </c>
      <c r="D63" s="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0.85143333333333293</v>
      </c>
      <c r="H63">
        <v>0.42161666666666708</v>
      </c>
    </row>
    <row r="64" spans="1:8" x14ac:dyDescent="0.2">
      <c r="A64" s="1">
        <v>43313.541666666664</v>
      </c>
      <c r="B64">
        <v>8645</v>
      </c>
      <c r="C64" s="3" t="e">
        <f t="array" ref="C64">VLOOKUP(A64&amp;B64,IF({1,0},#REF!&amp;#REF!,#REF!),2,FALSE)</f>
        <v>#N/A</v>
      </c>
      <c r="D64" s="3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0.86206666666666631</v>
      </c>
      <c r="H64">
        <v>0.64579999999999371</v>
      </c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A807-2679-6A40-AEF7-DE340243F528}">
  <dimension ref="A1:H17111"/>
  <sheetViews>
    <sheetView topLeftCell="A40" zoomScale="173" workbookViewId="0">
      <selection activeCell="G50" sqref="G50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43313.583333333336</v>
      </c>
      <c r="B2">
        <v>252</v>
      </c>
      <c r="C2" s="3">
        <v>3.3564833333333302</v>
      </c>
      <c r="D2" s="2">
        <v>7.41963333333333</v>
      </c>
      <c r="E2" s="4">
        <f>D2-C2</f>
        <v>4.0631500000000003</v>
      </c>
      <c r="F2" t="s">
        <v>6</v>
      </c>
      <c r="G2" s="6">
        <v>1E-4</v>
      </c>
      <c r="H2">
        <v>7.41963333333333</v>
      </c>
    </row>
    <row r="3" spans="1:8" x14ac:dyDescent="0.2">
      <c r="A3" s="1">
        <v>43313.583333333336</v>
      </c>
      <c r="B3">
        <v>379</v>
      </c>
      <c r="C3" s="3">
        <v>3.69421666666666</v>
      </c>
      <c r="D3" s="2">
        <v>3.8732166666666599</v>
      </c>
      <c r="E3" s="4">
        <f t="shared" ref="E3:E21" si="0">D3-C3</f>
        <v>0.17899999999999983</v>
      </c>
      <c r="F3" t="s">
        <v>6</v>
      </c>
      <c r="G3">
        <v>2.9086333333333259</v>
      </c>
      <c r="H3">
        <v>0.96458333333333401</v>
      </c>
    </row>
    <row r="4" spans="1:8" x14ac:dyDescent="0.2">
      <c r="A4" s="1">
        <v>43313.583333333336</v>
      </c>
      <c r="B4">
        <v>434</v>
      </c>
      <c r="C4" s="3">
        <v>3.7985000000000002</v>
      </c>
      <c r="D4" s="2">
        <v>4.3226333333333304</v>
      </c>
      <c r="E4" s="4">
        <f t="shared" si="0"/>
        <v>0.52413333333333023</v>
      </c>
      <c r="F4" t="s">
        <v>6</v>
      </c>
      <c r="G4">
        <v>3.2584499999999998</v>
      </c>
      <c r="H4">
        <v>1.0641833333333306</v>
      </c>
    </row>
    <row r="5" spans="1:8" x14ac:dyDescent="0.2">
      <c r="A5" s="1">
        <v>43313.583333333336</v>
      </c>
      <c r="B5">
        <v>1718</v>
      </c>
      <c r="C5" s="3">
        <v>3.97235</v>
      </c>
      <c r="D5" s="2">
        <v>3.4977166666666601</v>
      </c>
      <c r="E5" s="4">
        <f t="shared" si="0"/>
        <v>-0.4746333333333399</v>
      </c>
      <c r="F5" t="s">
        <v>6</v>
      </c>
      <c r="G5" s="6">
        <v>1E-4</v>
      </c>
      <c r="H5">
        <v>3.4977166666666601</v>
      </c>
    </row>
    <row r="6" spans="1:8" x14ac:dyDescent="0.2">
      <c r="A6" s="1">
        <v>43313.583333333336</v>
      </c>
      <c r="B6">
        <v>1792</v>
      </c>
      <c r="C6" s="3">
        <v>4.0298333333333298</v>
      </c>
      <c r="D6" s="2">
        <v>5.6866000000000003</v>
      </c>
      <c r="E6" s="4">
        <f t="shared" si="0"/>
        <v>1.6567666666666705</v>
      </c>
      <c r="F6" t="s">
        <v>6</v>
      </c>
      <c r="G6" s="6">
        <v>1E-4</v>
      </c>
      <c r="H6">
        <v>5.6866000000000003</v>
      </c>
    </row>
    <row r="7" spans="1:8" x14ac:dyDescent="0.2">
      <c r="A7" s="1">
        <v>43313.583333333336</v>
      </c>
      <c r="B7">
        <v>2925</v>
      </c>
      <c r="C7" s="3">
        <v>7.44490909090909</v>
      </c>
      <c r="D7" s="2">
        <v>3.75318181818181</v>
      </c>
      <c r="E7" s="4">
        <f t="shared" si="0"/>
        <v>-3.6917272727272801</v>
      </c>
      <c r="F7" t="s">
        <v>6</v>
      </c>
      <c r="G7" s="6">
        <v>1E-4</v>
      </c>
      <c r="H7">
        <v>3.75318181818181</v>
      </c>
    </row>
    <row r="8" spans="1:8" x14ac:dyDescent="0.2">
      <c r="A8" s="1">
        <v>43313.583333333336</v>
      </c>
      <c r="B8">
        <v>3649</v>
      </c>
      <c r="C8" s="3">
        <v>4.4950000000000001</v>
      </c>
      <c r="D8" s="2">
        <v>2.27633333333333</v>
      </c>
      <c r="E8" s="4">
        <f t="shared" si="0"/>
        <v>-2.2186666666666701</v>
      </c>
      <c r="F8" t="s">
        <v>6</v>
      </c>
      <c r="G8">
        <v>0.79169999999999996</v>
      </c>
      <c r="H8">
        <v>1.4846333333333299</v>
      </c>
    </row>
    <row r="9" spans="1:8" x14ac:dyDescent="0.2">
      <c r="A9" s="1">
        <v>43313.583333333336</v>
      </c>
      <c r="B9">
        <v>4357</v>
      </c>
      <c r="C9" s="3">
        <v>2.5186500000000001</v>
      </c>
      <c r="D9" s="2">
        <v>2.09608333333333</v>
      </c>
      <c r="E9" s="4">
        <f t="shared" si="0"/>
        <v>-0.42256666666667009</v>
      </c>
      <c r="F9" t="s">
        <v>6</v>
      </c>
      <c r="G9">
        <v>1.29105</v>
      </c>
      <c r="H9">
        <v>0.80503333333332994</v>
      </c>
    </row>
    <row r="10" spans="1:8" x14ac:dyDescent="0.2">
      <c r="A10" s="1">
        <v>43313.583333333336</v>
      </c>
      <c r="B10">
        <v>4874</v>
      </c>
      <c r="C10" s="3">
        <v>2.34666666666666</v>
      </c>
      <c r="D10" s="2">
        <v>4.5505666666666604</v>
      </c>
      <c r="E10" s="4">
        <f t="shared" si="0"/>
        <v>2.2039000000000004</v>
      </c>
      <c r="F10" t="s">
        <v>6</v>
      </c>
      <c r="G10">
        <v>2.5919000000000003</v>
      </c>
      <c r="H10">
        <v>1.9586666666666601</v>
      </c>
    </row>
    <row r="11" spans="1:8" x14ac:dyDescent="0.2">
      <c r="A11" s="1">
        <v>43313.583333333336</v>
      </c>
      <c r="B11">
        <v>5035</v>
      </c>
      <c r="C11" s="3">
        <v>1.78433333333333</v>
      </c>
      <c r="D11" s="2">
        <v>2.5549333333333299</v>
      </c>
      <c r="E11" s="4">
        <f t="shared" si="0"/>
        <v>0.77059999999999995</v>
      </c>
      <c r="F11" t="s">
        <v>6</v>
      </c>
      <c r="G11" s="6">
        <v>1E-4</v>
      </c>
      <c r="H11">
        <v>2.5549333333333299</v>
      </c>
    </row>
    <row r="12" spans="1:8" x14ac:dyDescent="0.2">
      <c r="A12" s="1">
        <v>43313.583333333336</v>
      </c>
      <c r="B12">
        <v>93</v>
      </c>
      <c r="C12" s="3">
        <v>3.31751666666666</v>
      </c>
      <c r="D12" s="2">
        <v>0.420833333333333</v>
      </c>
      <c r="E12" s="4">
        <f t="shared" si="0"/>
        <v>-2.8966833333333271</v>
      </c>
      <c r="F12" t="s">
        <v>7</v>
      </c>
      <c r="G12">
        <v>2.96666666666666E-3</v>
      </c>
      <c r="H12">
        <v>0.41786666666666633</v>
      </c>
    </row>
    <row r="13" spans="1:8" x14ac:dyDescent="0.2">
      <c r="A13" s="1">
        <v>43313.583333333336</v>
      </c>
      <c r="B13">
        <v>171</v>
      </c>
      <c r="C13" s="3">
        <v>4.1039833333333302</v>
      </c>
      <c r="D13" s="2">
        <v>2.3933166666666601</v>
      </c>
      <c r="E13" s="4">
        <f t="shared" si="0"/>
        <v>-1.7106666666666701</v>
      </c>
      <c r="F13" t="s">
        <v>7</v>
      </c>
      <c r="G13" s="6">
        <v>1E-4</v>
      </c>
      <c r="H13">
        <v>2.3933166666666601</v>
      </c>
    </row>
    <row r="14" spans="1:8" x14ac:dyDescent="0.2">
      <c r="A14" s="1">
        <v>43313.583333333336</v>
      </c>
      <c r="B14">
        <v>668</v>
      </c>
      <c r="C14" s="3">
        <v>4.2220000000000004</v>
      </c>
      <c r="D14" s="2">
        <v>3.95825</v>
      </c>
      <c r="E14" s="4">
        <f t="shared" si="0"/>
        <v>-0.26375000000000037</v>
      </c>
      <c r="F14" t="s">
        <v>7</v>
      </c>
      <c r="G14">
        <v>2.4138166666666598</v>
      </c>
      <c r="H14">
        <v>1.5444333333333402</v>
      </c>
    </row>
    <row r="15" spans="1:8" x14ac:dyDescent="0.2">
      <c r="A15" s="1">
        <v>43313.583333333336</v>
      </c>
      <c r="B15">
        <v>781</v>
      </c>
      <c r="C15" s="3">
        <v>3.7886333333333302</v>
      </c>
      <c r="D15" s="2">
        <v>1.2960166666666599</v>
      </c>
      <c r="E15" s="4">
        <f t="shared" si="0"/>
        <v>-2.4926166666666703</v>
      </c>
      <c r="F15" t="s">
        <v>7</v>
      </c>
      <c r="G15">
        <v>0.78611666666666602</v>
      </c>
      <c r="H15">
        <v>0.50989999999999391</v>
      </c>
    </row>
    <row r="16" spans="1:8" x14ac:dyDescent="0.2">
      <c r="A16" s="1">
        <v>43313.583333333336</v>
      </c>
      <c r="B16">
        <v>974</v>
      </c>
      <c r="C16" s="3">
        <v>5.4076000000000004</v>
      </c>
      <c r="D16" s="2">
        <v>4.9765499999999996</v>
      </c>
      <c r="E16" s="4">
        <f t="shared" si="0"/>
        <v>-0.43105000000000082</v>
      </c>
      <c r="F16" t="s">
        <v>7</v>
      </c>
      <c r="G16">
        <v>2.3064166666666592</v>
      </c>
      <c r="H16">
        <v>2.6701333333333404</v>
      </c>
    </row>
    <row r="17" spans="1:8" x14ac:dyDescent="0.2">
      <c r="A17" s="1">
        <v>43313.583333333336</v>
      </c>
      <c r="B17">
        <v>1192</v>
      </c>
      <c r="C17" s="3">
        <v>3.9688833333333302</v>
      </c>
      <c r="D17" s="2">
        <v>2.4571833333333299</v>
      </c>
      <c r="E17" s="4">
        <f t="shared" si="0"/>
        <v>-1.5117000000000003</v>
      </c>
      <c r="F17" t="s">
        <v>7</v>
      </c>
      <c r="G17">
        <v>1.8275000000000001</v>
      </c>
      <c r="H17">
        <v>0.62968333333332982</v>
      </c>
    </row>
    <row r="18" spans="1:8" x14ac:dyDescent="0.2">
      <c r="A18" s="1">
        <v>43313.583333333336</v>
      </c>
      <c r="B18">
        <v>1354</v>
      </c>
      <c r="C18" s="3">
        <v>3.97566666666666</v>
      </c>
      <c r="D18" s="2">
        <v>1.3154666666666599</v>
      </c>
      <c r="E18" s="4">
        <f t="shared" si="0"/>
        <v>-2.6602000000000001</v>
      </c>
      <c r="F18" t="s">
        <v>7</v>
      </c>
      <c r="G18">
        <v>0.75468333333333271</v>
      </c>
      <c r="H18">
        <v>0.56078333333332719</v>
      </c>
    </row>
    <row r="19" spans="1:8" x14ac:dyDescent="0.2">
      <c r="A19" s="1">
        <v>43313.583333333336</v>
      </c>
      <c r="B19">
        <v>1714</v>
      </c>
      <c r="C19" s="3">
        <v>2.8966833333333302</v>
      </c>
      <c r="D19" s="2">
        <v>5.0509833333333303</v>
      </c>
      <c r="E19" s="4">
        <f t="shared" si="0"/>
        <v>2.1543000000000001</v>
      </c>
      <c r="F19" t="s">
        <v>7</v>
      </c>
      <c r="G19">
        <v>4.0189999999999904</v>
      </c>
      <c r="H19">
        <v>1.0319833333333399</v>
      </c>
    </row>
    <row r="20" spans="1:8" x14ac:dyDescent="0.2">
      <c r="A20" s="1">
        <v>43313.583333333336</v>
      </c>
      <c r="B20">
        <v>1800</v>
      </c>
      <c r="C20" s="3">
        <v>5.8088166666666599</v>
      </c>
      <c r="D20" s="2">
        <v>3.40746666666666</v>
      </c>
      <c r="E20" s="4">
        <f t="shared" si="0"/>
        <v>-2.4013499999999999</v>
      </c>
      <c r="F20" t="s">
        <v>7</v>
      </c>
      <c r="G20">
        <v>2.1247833333333301</v>
      </c>
      <c r="H20">
        <v>1.2826833333333298</v>
      </c>
    </row>
    <row r="21" spans="1:8" x14ac:dyDescent="0.2">
      <c r="A21" s="1">
        <v>43313.583333333336</v>
      </c>
      <c r="B21">
        <v>2129</v>
      </c>
      <c r="C21" s="3">
        <v>3.8090166666666598</v>
      </c>
      <c r="D21" s="2">
        <v>2.448</v>
      </c>
      <c r="E21" s="4">
        <f t="shared" si="0"/>
        <v>-1.3610166666666599</v>
      </c>
      <c r="F21" t="s">
        <v>7</v>
      </c>
      <c r="G21">
        <v>1.49593333333333</v>
      </c>
      <c r="H21">
        <v>0.95206666666666995</v>
      </c>
    </row>
    <row r="22" spans="1:8" x14ac:dyDescent="0.2">
      <c r="A22" s="1">
        <v>43313.583333333336</v>
      </c>
      <c r="B22">
        <v>59</v>
      </c>
      <c r="C22" s="3">
        <v>0</v>
      </c>
      <c r="D22" s="2">
        <v>3.5207333333333302</v>
      </c>
      <c r="E22" s="4">
        <f t="shared" ref="E22:E64" si="1">D22-C22</f>
        <v>3.5207333333333302</v>
      </c>
      <c r="F22" t="s">
        <v>8</v>
      </c>
      <c r="G22">
        <v>2.2218</v>
      </c>
      <c r="H22">
        <v>1.2989333333333302</v>
      </c>
    </row>
    <row r="23" spans="1:8" x14ac:dyDescent="0.2">
      <c r="A23" s="1">
        <v>43313.583333333336</v>
      </c>
      <c r="B23">
        <v>86</v>
      </c>
      <c r="C23" s="3">
        <v>0</v>
      </c>
      <c r="D23" s="2">
        <v>0.48343333333333299</v>
      </c>
      <c r="E23" s="4">
        <f t="shared" si="1"/>
        <v>0.48343333333333299</v>
      </c>
      <c r="F23" t="s">
        <v>8</v>
      </c>
      <c r="G23" s="6">
        <v>1E-4</v>
      </c>
      <c r="H23">
        <v>0.48343333333333299</v>
      </c>
    </row>
    <row r="24" spans="1:8" x14ac:dyDescent="0.2">
      <c r="A24" s="1">
        <v>43313.583333333336</v>
      </c>
      <c r="B24">
        <v>94</v>
      </c>
      <c r="C24" s="3">
        <v>0</v>
      </c>
      <c r="D24" s="2">
        <v>1.0740499999999999</v>
      </c>
      <c r="E24" s="4">
        <f t="shared" si="1"/>
        <v>1.0740499999999999</v>
      </c>
      <c r="F24" t="s">
        <v>8</v>
      </c>
      <c r="G24">
        <v>0.33039999999999997</v>
      </c>
      <c r="H24">
        <v>0.74364999999999992</v>
      </c>
    </row>
    <row r="25" spans="1:8" x14ac:dyDescent="0.2">
      <c r="A25" s="1">
        <v>43313.583333333336</v>
      </c>
      <c r="B25">
        <v>115</v>
      </c>
      <c r="C25" s="3">
        <v>0</v>
      </c>
      <c r="D25" s="2">
        <v>1.8270833333333301</v>
      </c>
      <c r="E25" s="4">
        <f t="shared" si="1"/>
        <v>1.8270833333333301</v>
      </c>
      <c r="F25" t="s">
        <v>8</v>
      </c>
      <c r="G25">
        <v>1.2388999999999999</v>
      </c>
      <c r="H25">
        <v>0.58818333333333017</v>
      </c>
    </row>
    <row r="26" spans="1:8" x14ac:dyDescent="0.2">
      <c r="A26" s="1">
        <v>43313.583333333336</v>
      </c>
      <c r="B26">
        <v>503</v>
      </c>
      <c r="C26" s="3">
        <v>0</v>
      </c>
      <c r="D26" s="2">
        <v>2.88815</v>
      </c>
      <c r="E26" s="4">
        <f t="shared" si="1"/>
        <v>2.88815</v>
      </c>
      <c r="F26" t="s">
        <v>8</v>
      </c>
      <c r="G26">
        <v>2.3110333333333299</v>
      </c>
      <c r="H26">
        <v>0.57711666666667005</v>
      </c>
    </row>
    <row r="27" spans="1:8" x14ac:dyDescent="0.2">
      <c r="A27" s="1">
        <v>43313.583333333336</v>
      </c>
      <c r="B27">
        <v>621</v>
      </c>
      <c r="C27" s="3">
        <v>0</v>
      </c>
      <c r="D27" s="2">
        <v>1.2004999999999999</v>
      </c>
      <c r="E27" s="4">
        <f t="shared" si="1"/>
        <v>1.2004999999999999</v>
      </c>
      <c r="F27" t="s">
        <v>8</v>
      </c>
      <c r="G27">
        <v>0.57858333333333301</v>
      </c>
      <c r="H27">
        <v>0.6219166666666669</v>
      </c>
    </row>
    <row r="28" spans="1:8" x14ac:dyDescent="0.2">
      <c r="A28" s="1">
        <v>43313.583333333336</v>
      </c>
      <c r="B28">
        <v>871</v>
      </c>
      <c r="C28" s="3">
        <v>0</v>
      </c>
      <c r="D28" s="2">
        <v>1.74183333333333</v>
      </c>
      <c r="E28" s="4">
        <f t="shared" si="1"/>
        <v>1.74183333333333</v>
      </c>
      <c r="F28" t="s">
        <v>8</v>
      </c>
      <c r="G28">
        <v>0.92216666666666625</v>
      </c>
      <c r="H28">
        <v>0.81966666666666377</v>
      </c>
    </row>
    <row r="29" spans="1:8" x14ac:dyDescent="0.2">
      <c r="A29" s="1">
        <v>43313.583333333336</v>
      </c>
      <c r="B29">
        <v>930</v>
      </c>
      <c r="C29" s="3">
        <v>0</v>
      </c>
      <c r="D29" s="2">
        <v>4.1810499999999999</v>
      </c>
      <c r="E29" s="4">
        <f t="shared" si="1"/>
        <v>4.1810499999999999</v>
      </c>
      <c r="F29" t="s">
        <v>8</v>
      </c>
      <c r="G29">
        <v>2.30718333333333</v>
      </c>
      <c r="H29">
        <v>1.8738666666666699</v>
      </c>
    </row>
    <row r="30" spans="1:8" x14ac:dyDescent="0.2">
      <c r="A30" s="1">
        <v>43313.583333333336</v>
      </c>
      <c r="B30">
        <v>946</v>
      </c>
      <c r="C30" s="3">
        <v>0</v>
      </c>
      <c r="D30" s="2">
        <v>3.2347000000000001</v>
      </c>
      <c r="E30" s="4">
        <f t="shared" si="1"/>
        <v>3.2347000000000001</v>
      </c>
      <c r="F30" t="s">
        <v>8</v>
      </c>
      <c r="G30">
        <v>2.4169166666666659</v>
      </c>
      <c r="H30">
        <v>0.81778333333333419</v>
      </c>
    </row>
    <row r="31" spans="1:8" x14ac:dyDescent="0.2">
      <c r="A31" s="1">
        <v>43313.583333333336</v>
      </c>
      <c r="B31">
        <v>994</v>
      </c>
      <c r="C31" s="3">
        <v>0</v>
      </c>
      <c r="D31" s="2">
        <v>0.34691666666666598</v>
      </c>
      <c r="E31" s="4">
        <f t="shared" si="1"/>
        <v>0.34691666666666598</v>
      </c>
      <c r="F31" t="s">
        <v>8</v>
      </c>
      <c r="G31">
        <v>5.0000000000000001E-3</v>
      </c>
      <c r="H31">
        <v>0.34191666666666598</v>
      </c>
    </row>
    <row r="32" spans="1:8" x14ac:dyDescent="0.2">
      <c r="A32" s="1">
        <v>43313.583333333336</v>
      </c>
      <c r="B32">
        <v>1086</v>
      </c>
      <c r="C32" s="3">
        <v>0</v>
      </c>
      <c r="D32" s="2">
        <v>2.5682999999999998</v>
      </c>
      <c r="E32" s="4">
        <f t="shared" si="1"/>
        <v>2.5682999999999998</v>
      </c>
      <c r="F32" t="s">
        <v>8</v>
      </c>
      <c r="G32">
        <v>1.82365</v>
      </c>
      <c r="H32">
        <v>0.74464999999999981</v>
      </c>
    </row>
    <row r="33" spans="1:8" x14ac:dyDescent="0.2">
      <c r="A33" s="1">
        <v>43313.583333333336</v>
      </c>
      <c r="B33">
        <v>1202</v>
      </c>
      <c r="C33" s="3">
        <v>0</v>
      </c>
      <c r="D33" s="2">
        <v>4.1491833333333297</v>
      </c>
      <c r="E33" s="4">
        <f t="shared" si="1"/>
        <v>4.1491833333333297</v>
      </c>
      <c r="F33" t="s">
        <v>8</v>
      </c>
      <c r="G33">
        <v>1.8207833333333299</v>
      </c>
      <c r="H33">
        <v>2.3283999999999998</v>
      </c>
    </row>
    <row r="34" spans="1:8" x14ac:dyDescent="0.2">
      <c r="A34" s="1">
        <v>43313.583333333336</v>
      </c>
      <c r="B34">
        <v>1334</v>
      </c>
      <c r="C34" s="3">
        <v>0</v>
      </c>
      <c r="D34" s="2">
        <v>2.0172333333333299</v>
      </c>
      <c r="E34" s="4">
        <f t="shared" si="1"/>
        <v>2.0172333333333299</v>
      </c>
      <c r="F34" t="s">
        <v>8</v>
      </c>
      <c r="G34">
        <v>1.0844499999999999</v>
      </c>
      <c r="H34">
        <v>0.93278333333332997</v>
      </c>
    </row>
    <row r="35" spans="1:8" x14ac:dyDescent="0.2">
      <c r="A35" s="1">
        <v>43313.583333333336</v>
      </c>
      <c r="B35">
        <v>1500</v>
      </c>
      <c r="C35" s="3">
        <v>0</v>
      </c>
      <c r="D35" s="2">
        <v>1.5160166666666599</v>
      </c>
      <c r="E35" s="4">
        <f t="shared" si="1"/>
        <v>1.5160166666666599</v>
      </c>
      <c r="F35" t="s">
        <v>8</v>
      </c>
      <c r="G35">
        <v>1.0408333333333299</v>
      </c>
      <c r="H35">
        <v>0.47518333333332996</v>
      </c>
    </row>
    <row r="36" spans="1:8" x14ac:dyDescent="0.2">
      <c r="A36" s="1">
        <v>43313.583333333336</v>
      </c>
      <c r="B36">
        <v>1507</v>
      </c>
      <c r="C36" s="3">
        <v>0</v>
      </c>
      <c r="D36" s="2">
        <v>9.3683333333333305</v>
      </c>
      <c r="E36" s="4">
        <f t="shared" si="1"/>
        <v>9.3683333333333305</v>
      </c>
      <c r="F36" t="s">
        <v>8</v>
      </c>
      <c r="G36">
        <v>5.3555833333333327</v>
      </c>
      <c r="H36">
        <v>4.0127499999999978</v>
      </c>
    </row>
    <row r="37" spans="1:8" x14ac:dyDescent="0.2">
      <c r="A37" s="1">
        <v>43313.583333333336</v>
      </c>
      <c r="B37">
        <v>1796</v>
      </c>
      <c r="C37" s="3">
        <v>0</v>
      </c>
      <c r="D37" s="2">
        <v>7.9666666666666594E-2</v>
      </c>
      <c r="E37" s="4">
        <f t="shared" si="1"/>
        <v>7.9666666666666594E-2</v>
      </c>
      <c r="F37" t="s">
        <v>8</v>
      </c>
      <c r="G37" s="6">
        <v>1E-4</v>
      </c>
      <c r="H37">
        <v>7.9666666666666594E-2</v>
      </c>
    </row>
    <row r="38" spans="1:8" x14ac:dyDescent="0.2">
      <c r="A38" s="1">
        <v>43313.583333333336</v>
      </c>
      <c r="B38">
        <v>2004</v>
      </c>
      <c r="C38" s="3">
        <v>0</v>
      </c>
      <c r="D38" s="2">
        <v>2.11401666666666</v>
      </c>
      <c r="E38" s="4">
        <f t="shared" si="1"/>
        <v>2.11401666666666</v>
      </c>
      <c r="F38" t="s">
        <v>8</v>
      </c>
      <c r="G38">
        <v>1.07033333333333</v>
      </c>
      <c r="H38">
        <v>1.04368333333333</v>
      </c>
    </row>
    <row r="39" spans="1:8" x14ac:dyDescent="0.2">
      <c r="A39" s="1">
        <v>43313.583333333336</v>
      </c>
      <c r="B39">
        <v>2034</v>
      </c>
      <c r="C39" s="3">
        <v>0</v>
      </c>
      <c r="D39" s="2">
        <v>1.99055</v>
      </c>
      <c r="E39" s="4">
        <f t="shared" si="1"/>
        <v>1.99055</v>
      </c>
      <c r="F39" t="s">
        <v>8</v>
      </c>
      <c r="G39">
        <v>1.2578333333333334</v>
      </c>
      <c r="H39">
        <v>0.73271666666666668</v>
      </c>
    </row>
    <row r="40" spans="1:8" x14ac:dyDescent="0.2">
      <c r="A40" s="1">
        <v>43313.583333333336</v>
      </c>
      <c r="B40">
        <v>2158</v>
      </c>
      <c r="C40" s="3">
        <v>0</v>
      </c>
      <c r="D40" s="2">
        <v>3.7909999999999999</v>
      </c>
      <c r="E40" s="4">
        <f t="shared" si="1"/>
        <v>3.7909999999999999</v>
      </c>
      <c r="F40" t="s">
        <v>8</v>
      </c>
      <c r="G40">
        <v>2.6852999999999927</v>
      </c>
      <c r="H40">
        <v>1.1057000000000072</v>
      </c>
    </row>
    <row r="41" spans="1:8" x14ac:dyDescent="0.2">
      <c r="A41" s="1">
        <v>43313.583333333336</v>
      </c>
      <c r="B41">
        <v>2378</v>
      </c>
      <c r="C41" s="3">
        <v>0</v>
      </c>
      <c r="D41" s="2">
        <v>1.4944166666666601</v>
      </c>
      <c r="E41" s="4">
        <f t="shared" si="1"/>
        <v>1.4944166666666601</v>
      </c>
      <c r="F41" t="s">
        <v>8</v>
      </c>
      <c r="G41">
        <v>1.2800000000000001E-2</v>
      </c>
      <c r="H41">
        <v>1.4816166666666601</v>
      </c>
    </row>
    <row r="42" spans="1:8" x14ac:dyDescent="0.2">
      <c r="A42" s="1">
        <v>43313.583333333336</v>
      </c>
      <c r="B42">
        <v>2472</v>
      </c>
      <c r="C42" s="3">
        <v>0</v>
      </c>
      <c r="D42" s="2">
        <v>2.0489999999999999</v>
      </c>
      <c r="E42" s="4">
        <f t="shared" si="1"/>
        <v>2.0489999999999999</v>
      </c>
      <c r="F42" t="s">
        <v>8</v>
      </c>
      <c r="G42">
        <v>1.4605999999999999</v>
      </c>
      <c r="H42">
        <v>0.58840000000000003</v>
      </c>
    </row>
    <row r="43" spans="1:8" x14ac:dyDescent="0.2">
      <c r="A43" s="1">
        <v>43313.583333333336</v>
      </c>
      <c r="B43">
        <v>2859</v>
      </c>
      <c r="C43" s="3">
        <v>0</v>
      </c>
      <c r="D43" s="2">
        <v>1.10523333333333</v>
      </c>
      <c r="E43" s="4">
        <f t="shared" si="1"/>
        <v>1.10523333333333</v>
      </c>
      <c r="F43" t="s">
        <v>8</v>
      </c>
      <c r="G43">
        <v>0.67316666666666602</v>
      </c>
      <c r="H43">
        <v>0.43206666666666393</v>
      </c>
    </row>
    <row r="44" spans="1:8" x14ac:dyDescent="0.2">
      <c r="A44" s="1">
        <v>43313.583333333336</v>
      </c>
      <c r="B44">
        <v>2953</v>
      </c>
      <c r="C44" s="3">
        <v>0</v>
      </c>
      <c r="D44" s="2">
        <v>1.19075</v>
      </c>
      <c r="E44" s="4">
        <f t="shared" si="1"/>
        <v>1.19075</v>
      </c>
      <c r="F44" t="s">
        <v>8</v>
      </c>
      <c r="G44">
        <v>0.74546666666666594</v>
      </c>
      <c r="H44">
        <v>0.44528333333333403</v>
      </c>
    </row>
    <row r="45" spans="1:8" x14ac:dyDescent="0.2">
      <c r="A45" s="1">
        <v>43313.583333333336</v>
      </c>
      <c r="B45">
        <v>3273</v>
      </c>
      <c r="C45" s="3">
        <v>0</v>
      </c>
      <c r="D45" s="2">
        <v>2.0176333333333298</v>
      </c>
      <c r="E45" s="4">
        <f t="shared" si="1"/>
        <v>2.0176333333333298</v>
      </c>
      <c r="F45" t="s">
        <v>8</v>
      </c>
      <c r="G45">
        <v>1.1332</v>
      </c>
      <c r="H45">
        <v>0.88443333333332985</v>
      </c>
    </row>
    <row r="46" spans="1:8" x14ac:dyDescent="0.2">
      <c r="A46" s="1">
        <v>43313.583333333336</v>
      </c>
      <c r="B46">
        <v>3401</v>
      </c>
      <c r="C46" s="3">
        <v>0</v>
      </c>
      <c r="D46" s="2">
        <v>3.6181333333333301</v>
      </c>
      <c r="E46" s="4">
        <f t="shared" si="1"/>
        <v>3.6181333333333301</v>
      </c>
      <c r="F46" t="s">
        <v>8</v>
      </c>
      <c r="G46">
        <v>2.3633333333333301E-2</v>
      </c>
      <c r="H46">
        <v>3.5944999999999969</v>
      </c>
    </row>
    <row r="47" spans="1:8" x14ac:dyDescent="0.2">
      <c r="A47" s="1">
        <v>43313.583333333336</v>
      </c>
      <c r="B47">
        <v>3778</v>
      </c>
      <c r="C47" s="3">
        <v>0</v>
      </c>
      <c r="D47" s="2">
        <v>1.8520000000000001</v>
      </c>
      <c r="E47" s="4">
        <f t="shared" si="1"/>
        <v>1.8520000000000001</v>
      </c>
      <c r="F47" t="s">
        <v>8</v>
      </c>
      <c r="G47">
        <v>1.1060000000000001</v>
      </c>
      <c r="H47">
        <v>0.746</v>
      </c>
    </row>
    <row r="48" spans="1:8" x14ac:dyDescent="0.2">
      <c r="A48" s="1">
        <v>43313.583333333336</v>
      </c>
      <c r="B48">
        <v>3831</v>
      </c>
      <c r="C48" s="3">
        <v>0</v>
      </c>
      <c r="D48" s="2">
        <v>2.7419166666666599</v>
      </c>
      <c r="E48" s="4">
        <f t="shared" si="1"/>
        <v>2.7419166666666599</v>
      </c>
      <c r="F48" t="s">
        <v>8</v>
      </c>
      <c r="G48">
        <v>1.9761166666666601</v>
      </c>
      <c r="H48">
        <v>0.76579999999999981</v>
      </c>
    </row>
    <row r="49" spans="1:8" x14ac:dyDescent="0.2">
      <c r="A49" s="1">
        <v>43313.583333333336</v>
      </c>
      <c r="B49">
        <v>3893</v>
      </c>
      <c r="C49" s="3">
        <v>0</v>
      </c>
      <c r="D49" s="2">
        <v>2.72946666666666</v>
      </c>
      <c r="E49" s="4">
        <f t="shared" si="1"/>
        <v>2.72946666666666</v>
      </c>
      <c r="F49" t="s">
        <v>8</v>
      </c>
      <c r="G49">
        <v>1.2282</v>
      </c>
      <c r="H49">
        <v>1.5012666666666601</v>
      </c>
    </row>
    <row r="50" spans="1:8" x14ac:dyDescent="0.2">
      <c r="A50" s="1">
        <v>43313.583333333336</v>
      </c>
      <c r="B50">
        <v>4213</v>
      </c>
      <c r="C50" s="3">
        <v>0</v>
      </c>
      <c r="D50" s="2">
        <v>0.22163333333333299</v>
      </c>
      <c r="E50" s="4">
        <f t="shared" si="1"/>
        <v>0.22163333333333299</v>
      </c>
      <c r="F50" t="s">
        <v>8</v>
      </c>
      <c r="G50" s="6">
        <v>1E-4</v>
      </c>
      <c r="H50">
        <v>0.22163333333333299</v>
      </c>
    </row>
    <row r="51" spans="1:8" x14ac:dyDescent="0.2">
      <c r="A51" s="1">
        <v>43313.583333333336</v>
      </c>
      <c r="B51">
        <v>4298</v>
      </c>
      <c r="C51" s="3">
        <v>0</v>
      </c>
      <c r="D51" s="2">
        <v>1.4641</v>
      </c>
      <c r="E51" s="4">
        <f t="shared" si="1"/>
        <v>1.4641</v>
      </c>
      <c r="F51" t="s">
        <v>8</v>
      </c>
      <c r="G51">
        <v>0.98860000000000003</v>
      </c>
      <c r="H51">
        <v>0.47549999999999992</v>
      </c>
    </row>
    <row r="52" spans="1:8" x14ac:dyDescent="0.2">
      <c r="A52" s="1">
        <v>43313.583333333336</v>
      </c>
      <c r="B52">
        <v>370</v>
      </c>
      <c r="C52" s="3" t="e">
        <f t="array" ref="C52">VLOOKUP(A52&amp;B52,IF({1,0},#REF!&amp;#REF!,#REF!),2,FALSE)</f>
        <v>#N/A</v>
      </c>
      <c r="D52" s="3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2.2693499999999935</v>
      </c>
      <c r="H52">
        <v>1.1894333333333367</v>
      </c>
    </row>
    <row r="53" spans="1:8" x14ac:dyDescent="0.2">
      <c r="A53" s="1">
        <v>43313.583333333336</v>
      </c>
      <c r="B53">
        <v>2638</v>
      </c>
      <c r="C53" s="3" t="e">
        <f t="array" ref="C53">VLOOKUP(A53&amp;B53,IF({1,0},#REF!&amp;#REF!,#REF!),2,FALSE)</f>
        <v>#N/A</v>
      </c>
      <c r="D53" s="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1.6981166666666601</v>
      </c>
      <c r="H53">
        <v>0.89818333333333977</v>
      </c>
    </row>
    <row r="54" spans="1:8" x14ac:dyDescent="0.2">
      <c r="A54" s="1">
        <v>43313.583333333336</v>
      </c>
      <c r="B54">
        <v>3482</v>
      </c>
      <c r="C54" s="3" t="e">
        <f t="array" ref="C54">VLOOKUP(A54&amp;B54,IF({1,0},#REF!&amp;#REF!,#REF!),2,FALSE)</f>
        <v>#N/A</v>
      </c>
      <c r="D54" s="3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0.28926666666666628</v>
      </c>
      <c r="H54">
        <v>0.39093333333333374</v>
      </c>
    </row>
    <row r="55" spans="1:8" x14ac:dyDescent="0.2">
      <c r="A55" s="1">
        <v>43313.583333333336</v>
      </c>
      <c r="B55">
        <v>3723</v>
      </c>
      <c r="C55" s="3" t="e">
        <f t="array" ref="C55">VLOOKUP(A55&amp;B55,IF({1,0},#REF!&amp;#REF!,#REF!),2,FALSE)</f>
        <v>#N/A</v>
      </c>
      <c r="D55" s="3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1.6869499999999999</v>
      </c>
      <c r="H55">
        <v>0.73561666666665992</v>
      </c>
    </row>
    <row r="56" spans="1:8" x14ac:dyDescent="0.2">
      <c r="A56" s="1">
        <v>43313.583333333336</v>
      </c>
      <c r="B56">
        <v>3967</v>
      </c>
      <c r="C56" s="3" t="e">
        <f t="array" ref="C56">VLOOKUP(A56&amp;B56,IF({1,0},#REF!&amp;#REF!,#REF!),2,FALSE)</f>
        <v>#N/A</v>
      </c>
      <c r="D56" s="3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5.1653833333333301</v>
      </c>
      <c r="H56">
        <v>0.95378333333333032</v>
      </c>
    </row>
    <row r="57" spans="1:8" x14ac:dyDescent="0.2">
      <c r="A57" s="1">
        <v>43313.583333333336</v>
      </c>
      <c r="B57">
        <v>4998</v>
      </c>
      <c r="C57" s="3" t="e">
        <f t="array" ref="C57">VLOOKUP(A57&amp;B57,IF({1,0},#REF!&amp;#REF!,#REF!),2,FALSE)</f>
        <v>#N/A</v>
      </c>
      <c r="D57" s="3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1.77558333333333</v>
      </c>
      <c r="H57">
        <v>0.95239999999999991</v>
      </c>
    </row>
    <row r="58" spans="1:8" x14ac:dyDescent="0.2">
      <c r="A58" s="1">
        <v>43313.583333333336</v>
      </c>
      <c r="B58">
        <v>5749</v>
      </c>
      <c r="C58" s="3" t="e">
        <f t="array" ref="C58">VLOOKUP(A58&amp;B58,IF({1,0},#REF!&amp;#REF!,#REF!),2,FALSE)</f>
        <v>#N/A</v>
      </c>
      <c r="D58" s="3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1.5000000000000001E-4</v>
      </c>
      <c r="H58">
        <v>1.00105</v>
      </c>
    </row>
    <row r="59" spans="1:8" x14ac:dyDescent="0.2">
      <c r="A59" s="1">
        <v>43313.583333333336</v>
      </c>
      <c r="B59">
        <v>6248</v>
      </c>
      <c r="C59" s="3" t="e">
        <f t="array" ref="C59">VLOOKUP(A59&amp;B59,IF({1,0},#REF!&amp;#REF!,#REF!),2,FALSE)</f>
        <v>#N/A</v>
      </c>
      <c r="D59" s="3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2.5314166666666598</v>
      </c>
      <c r="H59">
        <v>1.3304166666666704</v>
      </c>
    </row>
    <row r="60" spans="1:8" x14ac:dyDescent="0.2">
      <c r="A60" s="1">
        <v>43313.583333333336</v>
      </c>
      <c r="B60">
        <v>6691</v>
      </c>
      <c r="C60" s="3" t="e">
        <f t="array" ref="C60">VLOOKUP(A60&amp;B60,IF({1,0},#REF!&amp;#REF!,#REF!),2,FALSE)</f>
        <v>#N/A</v>
      </c>
      <c r="D60" s="3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1.8109833333333267</v>
      </c>
      <c r="H60">
        <v>1.1945333333333334</v>
      </c>
    </row>
    <row r="61" spans="1:8" x14ac:dyDescent="0.2">
      <c r="A61" s="1">
        <v>43313.583333333336</v>
      </c>
      <c r="B61">
        <v>7024</v>
      </c>
      <c r="C61" s="3" t="e">
        <f t="array" ref="C61">VLOOKUP(A61&amp;B61,IF({1,0},#REF!&amp;#REF!,#REF!),2,FALSE)</f>
        <v>#N/A</v>
      </c>
      <c r="D61" s="3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1.32426666666666</v>
      </c>
      <c r="H61">
        <v>0.89713333333334</v>
      </c>
    </row>
    <row r="62" spans="1:8" x14ac:dyDescent="0.2">
      <c r="A62" s="1">
        <v>43313.583333333336</v>
      </c>
      <c r="B62">
        <v>7875</v>
      </c>
      <c r="C62" s="3" t="e">
        <f t="array" ref="C62">VLOOKUP(A62&amp;B62,IF({1,0},#REF!&amp;#REF!,#REF!),2,FALSE)</f>
        <v>#N/A</v>
      </c>
      <c r="D62" s="3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1.5290999999999968</v>
      </c>
      <c r="H62">
        <v>0.57871666666666299</v>
      </c>
    </row>
    <row r="63" spans="1:8" x14ac:dyDescent="0.2">
      <c r="A63" s="1">
        <v>43313.583333333336</v>
      </c>
      <c r="B63">
        <v>8236</v>
      </c>
      <c r="C63" s="3" t="e">
        <f t="array" ref="C63">VLOOKUP(A63&amp;B63,IF({1,0},#REF!&amp;#REF!,#REF!),2,FALSE)</f>
        <v>#N/A</v>
      </c>
      <c r="D63" s="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1.0510833333333267</v>
      </c>
      <c r="H63">
        <v>0.45218333333333338</v>
      </c>
    </row>
    <row r="64" spans="1:8" x14ac:dyDescent="0.2">
      <c r="A64" s="1">
        <v>43313.583333333336</v>
      </c>
      <c r="B64">
        <v>8645</v>
      </c>
      <c r="C64" s="3" t="e">
        <f t="array" ref="C64">VLOOKUP(A64&amp;B64,IF({1,0},#REF!&amp;#REF!,#REF!),2,FALSE)</f>
        <v>#N/A</v>
      </c>
      <c r="D64" s="3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0.92214999999999969</v>
      </c>
      <c r="H64">
        <v>0.28306666666666025</v>
      </c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5CCF8-2AB9-6945-84C6-6C62C150295A}">
  <dimension ref="A1:H17111"/>
  <sheetViews>
    <sheetView zoomScale="173" workbookViewId="0">
      <selection activeCell="E21" sqref="E21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43313.625</v>
      </c>
      <c r="B2">
        <v>252</v>
      </c>
      <c r="C2" s="3">
        <v>3.2468499999999998</v>
      </c>
      <c r="D2" s="2">
        <v>5.7670666666666603</v>
      </c>
      <c r="E2" s="4">
        <f>D2-C2</f>
        <v>2.5202166666666606</v>
      </c>
      <c r="F2" t="s">
        <v>6</v>
      </c>
      <c r="G2" s="6">
        <v>1E-4</v>
      </c>
      <c r="H2">
        <v>5.7670666666666603</v>
      </c>
    </row>
    <row r="3" spans="1:8" x14ac:dyDescent="0.2">
      <c r="A3" s="1">
        <v>43313.625</v>
      </c>
      <c r="B3">
        <v>379</v>
      </c>
      <c r="C3" s="3">
        <v>3.1510833333333301</v>
      </c>
      <c r="D3" s="2">
        <v>3.94533333333333</v>
      </c>
      <c r="E3" s="4">
        <f t="shared" ref="E3:E21" si="0">D3-C3</f>
        <v>0.7942499999999999</v>
      </c>
      <c r="F3" t="s">
        <v>6</v>
      </c>
      <c r="G3">
        <v>2.9534166666666604</v>
      </c>
      <c r="H3">
        <v>0.99191666666666967</v>
      </c>
    </row>
    <row r="4" spans="1:8" x14ac:dyDescent="0.2">
      <c r="A4" s="1">
        <v>43313.625</v>
      </c>
      <c r="B4">
        <v>434</v>
      </c>
      <c r="C4" s="3">
        <v>3.9706333333333301</v>
      </c>
      <c r="D4" s="2">
        <v>5.1008666666666604</v>
      </c>
      <c r="E4" s="4">
        <f t="shared" si="0"/>
        <v>1.1302333333333303</v>
      </c>
      <c r="F4" t="s">
        <v>6</v>
      </c>
      <c r="G4">
        <v>3.9639500000000001</v>
      </c>
      <c r="H4">
        <v>1.1369166666666604</v>
      </c>
    </row>
    <row r="5" spans="1:8" x14ac:dyDescent="0.2">
      <c r="A5" s="1">
        <v>43313.625</v>
      </c>
      <c r="B5">
        <v>1718</v>
      </c>
      <c r="C5" s="3">
        <v>3.84303333333333</v>
      </c>
      <c r="D5" s="2">
        <v>3.6569500000000001</v>
      </c>
      <c r="E5" s="4">
        <f t="shared" si="0"/>
        <v>-0.18608333333332983</v>
      </c>
      <c r="F5" t="s">
        <v>6</v>
      </c>
      <c r="G5" s="6">
        <v>1E-4</v>
      </c>
      <c r="H5">
        <v>3.6569500000000001</v>
      </c>
    </row>
    <row r="6" spans="1:8" x14ac:dyDescent="0.2">
      <c r="A6" s="1">
        <v>43313.625</v>
      </c>
      <c r="B6">
        <v>1792</v>
      </c>
      <c r="C6" s="3">
        <v>3.8673999999999999</v>
      </c>
      <c r="D6" s="2">
        <v>4.4733333333333301</v>
      </c>
      <c r="E6" s="4">
        <f t="shared" si="0"/>
        <v>0.6059333333333301</v>
      </c>
      <c r="F6" t="s">
        <v>6</v>
      </c>
      <c r="G6" s="6">
        <v>1E-4</v>
      </c>
      <c r="H6">
        <v>4.4733333333333301</v>
      </c>
    </row>
    <row r="7" spans="1:8" x14ac:dyDescent="0.2">
      <c r="A7" s="1">
        <v>43313.625</v>
      </c>
      <c r="B7">
        <v>2925</v>
      </c>
      <c r="C7" s="3">
        <v>5.6393599999999999</v>
      </c>
      <c r="D7" s="2">
        <v>4.8658400000000004</v>
      </c>
      <c r="E7" s="4">
        <f t="shared" si="0"/>
        <v>-0.77351999999999954</v>
      </c>
      <c r="F7" t="s">
        <v>6</v>
      </c>
      <c r="G7" s="6">
        <v>1E-4</v>
      </c>
      <c r="H7">
        <v>4.8658400000000004</v>
      </c>
    </row>
    <row r="8" spans="1:8" x14ac:dyDescent="0.2">
      <c r="A8" s="1">
        <v>43313.625</v>
      </c>
      <c r="B8">
        <v>3649</v>
      </c>
      <c r="C8" s="3">
        <v>3.8320500000000002</v>
      </c>
      <c r="D8" s="2">
        <v>7.0146833333333296</v>
      </c>
      <c r="E8" s="4">
        <f t="shared" si="0"/>
        <v>3.1826333333333294</v>
      </c>
      <c r="F8" t="s">
        <v>6</v>
      </c>
      <c r="G8">
        <v>3.7457333333333298</v>
      </c>
      <c r="H8">
        <v>3.2689499999999998</v>
      </c>
    </row>
    <row r="9" spans="1:8" x14ac:dyDescent="0.2">
      <c r="A9" s="1">
        <v>43313.625</v>
      </c>
      <c r="B9">
        <v>4357</v>
      </c>
      <c r="C9" s="3">
        <v>2.2638500000000001</v>
      </c>
      <c r="D9" s="2">
        <v>1.95891666666666</v>
      </c>
      <c r="E9" s="4">
        <f t="shared" si="0"/>
        <v>-0.30493333333334016</v>
      </c>
      <c r="F9" t="s">
        <v>6</v>
      </c>
      <c r="G9">
        <v>1.29175</v>
      </c>
      <c r="H9">
        <v>0.66716666666666002</v>
      </c>
    </row>
    <row r="10" spans="1:8" x14ac:dyDescent="0.2">
      <c r="A10" s="1">
        <v>43313.625</v>
      </c>
      <c r="B10">
        <v>4874</v>
      </c>
      <c r="C10" s="3">
        <v>1.98626666666666</v>
      </c>
      <c r="D10" s="2">
        <v>5.2659333333333302</v>
      </c>
      <c r="E10" s="4">
        <f t="shared" si="0"/>
        <v>3.2796666666666701</v>
      </c>
      <c r="F10" t="s">
        <v>6</v>
      </c>
      <c r="G10">
        <v>2.6667499999999968</v>
      </c>
      <c r="H10">
        <v>2.5991833333333334</v>
      </c>
    </row>
    <row r="11" spans="1:8" x14ac:dyDescent="0.2">
      <c r="A11" s="1">
        <v>43313.625</v>
      </c>
      <c r="B11">
        <v>5035</v>
      </c>
      <c r="C11" s="3">
        <v>1.7746166666666601</v>
      </c>
      <c r="D11" s="2">
        <v>5.6629500000000004</v>
      </c>
      <c r="E11" s="4">
        <f t="shared" si="0"/>
        <v>3.8883333333333403</v>
      </c>
      <c r="F11" t="s">
        <v>6</v>
      </c>
      <c r="G11" s="6">
        <v>1E-4</v>
      </c>
      <c r="H11">
        <v>5.6629500000000004</v>
      </c>
    </row>
    <row r="12" spans="1:8" x14ac:dyDescent="0.2">
      <c r="A12" s="1">
        <v>43313.625</v>
      </c>
      <c r="B12">
        <v>93</v>
      </c>
      <c r="C12" s="3">
        <v>2.9667833333333302</v>
      </c>
      <c r="D12" s="2">
        <v>0.32841666666666602</v>
      </c>
      <c r="E12" s="4">
        <f t="shared" si="0"/>
        <v>-2.6383666666666641</v>
      </c>
      <c r="F12" t="s">
        <v>7</v>
      </c>
      <c r="G12">
        <v>3.2000000000000002E-3</v>
      </c>
      <c r="H12">
        <v>0.32521666666666604</v>
      </c>
    </row>
    <row r="13" spans="1:8" x14ac:dyDescent="0.2">
      <c r="A13" s="1">
        <v>43313.625</v>
      </c>
      <c r="B13">
        <v>171</v>
      </c>
      <c r="C13" s="3">
        <v>4.1998166666666599</v>
      </c>
      <c r="D13" s="2">
        <v>2.3726666666666598</v>
      </c>
      <c r="E13" s="4">
        <f t="shared" si="0"/>
        <v>-1.8271500000000001</v>
      </c>
      <c r="F13" t="s">
        <v>7</v>
      </c>
      <c r="G13" s="6">
        <v>1E-4</v>
      </c>
      <c r="H13">
        <v>2.3726666666666598</v>
      </c>
    </row>
    <row r="14" spans="1:8" x14ac:dyDescent="0.2">
      <c r="A14" s="1">
        <v>43313.625</v>
      </c>
      <c r="B14">
        <v>668</v>
      </c>
      <c r="C14" s="3">
        <v>4.0750666666666602</v>
      </c>
      <c r="D14" s="2">
        <v>4.4132499999999997</v>
      </c>
      <c r="E14" s="4">
        <f t="shared" si="0"/>
        <v>0.3381833333333395</v>
      </c>
      <c r="F14" t="s">
        <v>7</v>
      </c>
      <c r="G14">
        <v>2.8822333333333301</v>
      </c>
      <c r="H14">
        <v>1.5310166666666696</v>
      </c>
    </row>
    <row r="15" spans="1:8" x14ac:dyDescent="0.2">
      <c r="A15" s="1">
        <v>43313.625</v>
      </c>
      <c r="B15">
        <v>781</v>
      </c>
      <c r="C15" s="3">
        <v>3.6721499999999998</v>
      </c>
      <c r="D15" s="2">
        <v>1.5774333333333299</v>
      </c>
      <c r="E15" s="4">
        <f t="shared" si="0"/>
        <v>-2.0947166666666699</v>
      </c>
      <c r="F15" t="s">
        <v>7</v>
      </c>
      <c r="G15">
        <v>1.1508833333333299</v>
      </c>
      <c r="H15">
        <v>0.42654999999999998</v>
      </c>
    </row>
    <row r="16" spans="1:8" x14ac:dyDescent="0.2">
      <c r="A16" s="1">
        <v>43313.625</v>
      </c>
      <c r="B16">
        <v>974</v>
      </c>
      <c r="C16" s="3">
        <v>4.6304999999999996</v>
      </c>
      <c r="D16" s="2">
        <v>5.7880000000000003</v>
      </c>
      <c r="E16" s="4">
        <f t="shared" si="0"/>
        <v>1.1575000000000006</v>
      </c>
      <c r="F16" t="s">
        <v>7</v>
      </c>
      <c r="G16">
        <v>2.4084499999999958</v>
      </c>
      <c r="H16">
        <v>3.3795500000000045</v>
      </c>
    </row>
    <row r="17" spans="1:8" x14ac:dyDescent="0.2">
      <c r="A17" s="1">
        <v>43313.625</v>
      </c>
      <c r="B17">
        <v>1192</v>
      </c>
      <c r="C17" s="3">
        <v>3.8685</v>
      </c>
      <c r="D17" s="2">
        <v>2.4938833333333301</v>
      </c>
      <c r="E17" s="4">
        <f t="shared" si="0"/>
        <v>-1.3746166666666699</v>
      </c>
      <c r="F17" t="s">
        <v>7</v>
      </c>
      <c r="G17">
        <v>1.7613833333333266</v>
      </c>
      <c r="H17">
        <v>0.73250000000000348</v>
      </c>
    </row>
    <row r="18" spans="1:8" x14ac:dyDescent="0.2">
      <c r="A18" s="1">
        <v>43313.625</v>
      </c>
      <c r="B18">
        <v>1354</v>
      </c>
      <c r="C18" s="3">
        <v>3.5903</v>
      </c>
      <c r="D18" s="2">
        <v>3.7437999999999998</v>
      </c>
      <c r="E18" s="4">
        <f t="shared" si="0"/>
        <v>0.15349999999999975</v>
      </c>
      <c r="F18" t="s">
        <v>7</v>
      </c>
      <c r="G18">
        <v>2.666499999999993</v>
      </c>
      <c r="H18">
        <v>1.0773000000000068</v>
      </c>
    </row>
    <row r="19" spans="1:8" x14ac:dyDescent="0.2">
      <c r="A19" s="1">
        <v>43313.625</v>
      </c>
      <c r="B19">
        <v>1714</v>
      </c>
      <c r="C19" s="3">
        <v>2.4044833333333302</v>
      </c>
      <c r="D19" s="2">
        <v>3.9733166666666602</v>
      </c>
      <c r="E19" s="4">
        <f t="shared" si="0"/>
        <v>1.56883333333333</v>
      </c>
      <c r="F19" t="s">
        <v>7</v>
      </c>
      <c r="G19">
        <v>3.2213999999999934</v>
      </c>
      <c r="H19">
        <v>0.75191666666666679</v>
      </c>
    </row>
    <row r="20" spans="1:8" x14ac:dyDescent="0.2">
      <c r="A20" s="1">
        <v>43313.625</v>
      </c>
      <c r="B20">
        <v>1800</v>
      </c>
      <c r="C20" s="3">
        <v>5.6990333333333298</v>
      </c>
      <c r="D20" s="2">
        <v>7.1517999999999997</v>
      </c>
      <c r="E20" s="4">
        <f t="shared" si="0"/>
        <v>1.4527666666666699</v>
      </c>
      <c r="F20" t="s">
        <v>7</v>
      </c>
      <c r="G20">
        <v>2.7059666666666602</v>
      </c>
      <c r="H20">
        <v>4.44583333333334</v>
      </c>
    </row>
    <row r="21" spans="1:8" x14ac:dyDescent="0.2">
      <c r="A21" s="1">
        <v>43313.625</v>
      </c>
      <c r="B21">
        <v>2129</v>
      </c>
      <c r="C21" s="3">
        <v>3.66678333333333</v>
      </c>
      <c r="D21" s="2">
        <v>2.6758999999999999</v>
      </c>
      <c r="E21" s="4">
        <f t="shared" si="0"/>
        <v>-0.99088333333333001</v>
      </c>
      <c r="F21" t="s">
        <v>7</v>
      </c>
      <c r="G21">
        <v>1.70898333333333</v>
      </c>
      <c r="H21">
        <v>0.96691666666666998</v>
      </c>
    </row>
    <row r="22" spans="1:8" x14ac:dyDescent="0.2">
      <c r="A22" s="1">
        <v>43313.625</v>
      </c>
      <c r="B22">
        <v>59</v>
      </c>
      <c r="C22" s="3">
        <v>0</v>
      </c>
      <c r="D22" s="2">
        <v>3.06616666666666</v>
      </c>
      <c r="E22" s="4">
        <f t="shared" ref="E22:E64" si="1">D22-C22</f>
        <v>3.06616666666666</v>
      </c>
      <c r="F22" t="s">
        <v>8</v>
      </c>
      <c r="G22">
        <v>1.5620333333333301</v>
      </c>
      <c r="H22">
        <v>1.50413333333333</v>
      </c>
    </row>
    <row r="23" spans="1:8" x14ac:dyDescent="0.2">
      <c r="A23" s="1">
        <v>43313.625</v>
      </c>
      <c r="B23">
        <v>86</v>
      </c>
      <c r="C23" s="3">
        <v>0</v>
      </c>
      <c r="D23" s="2">
        <v>1.6166833333333299</v>
      </c>
      <c r="E23" s="4">
        <f t="shared" si="1"/>
        <v>1.6166833333333299</v>
      </c>
      <c r="F23" t="s">
        <v>8</v>
      </c>
      <c r="G23">
        <v>0.9451333333333326</v>
      </c>
      <c r="H23">
        <v>0.67154999999999732</v>
      </c>
    </row>
    <row r="24" spans="1:8" x14ac:dyDescent="0.2">
      <c r="A24" s="1">
        <v>43313.625</v>
      </c>
      <c r="B24">
        <v>94</v>
      </c>
      <c r="C24" s="3">
        <v>0</v>
      </c>
      <c r="D24" s="2">
        <v>1.077</v>
      </c>
      <c r="E24" s="4">
        <f t="shared" si="1"/>
        <v>1.077</v>
      </c>
      <c r="F24" t="s">
        <v>8</v>
      </c>
      <c r="G24">
        <v>0.34870000000000001</v>
      </c>
      <c r="H24">
        <v>0.72829999999999995</v>
      </c>
    </row>
    <row r="25" spans="1:8" x14ac:dyDescent="0.2">
      <c r="A25" s="1">
        <v>43313.625</v>
      </c>
      <c r="B25">
        <v>115</v>
      </c>
      <c r="C25" s="3">
        <v>0</v>
      </c>
      <c r="D25" s="2">
        <v>1.6829000000000001</v>
      </c>
      <c r="E25" s="4">
        <f t="shared" si="1"/>
        <v>1.6829000000000001</v>
      </c>
      <c r="F25" t="s">
        <v>8</v>
      </c>
      <c r="G25">
        <v>1.0436333333333301</v>
      </c>
      <c r="H25">
        <v>0.63926666666666998</v>
      </c>
    </row>
    <row r="26" spans="1:8" x14ac:dyDescent="0.2">
      <c r="A26" s="1">
        <v>43313.625</v>
      </c>
      <c r="B26">
        <v>503</v>
      </c>
      <c r="C26" s="3">
        <v>0</v>
      </c>
      <c r="D26" s="2">
        <v>2.9189666666666598</v>
      </c>
      <c r="E26" s="4">
        <f t="shared" si="1"/>
        <v>2.9189666666666598</v>
      </c>
      <c r="F26" t="s">
        <v>8</v>
      </c>
      <c r="G26">
        <v>2.3423833333333302</v>
      </c>
      <c r="H26">
        <v>0.57658333333332967</v>
      </c>
    </row>
    <row r="27" spans="1:8" x14ac:dyDescent="0.2">
      <c r="A27" s="1">
        <v>43313.625</v>
      </c>
      <c r="B27">
        <v>621</v>
      </c>
      <c r="C27" s="3">
        <v>0</v>
      </c>
      <c r="D27" s="2">
        <v>0.86468333333333303</v>
      </c>
      <c r="E27" s="4">
        <f t="shared" si="1"/>
        <v>0.86468333333333303</v>
      </c>
      <c r="F27" t="s">
        <v>8</v>
      </c>
      <c r="G27">
        <v>0.3</v>
      </c>
      <c r="H27">
        <v>0.56468333333333298</v>
      </c>
    </row>
    <row r="28" spans="1:8" x14ac:dyDescent="0.2">
      <c r="A28" s="1">
        <v>43313.625</v>
      </c>
      <c r="B28">
        <v>871</v>
      </c>
      <c r="C28" s="3">
        <v>0</v>
      </c>
      <c r="D28" s="2">
        <v>0.62293333333333301</v>
      </c>
      <c r="E28" s="4">
        <f t="shared" si="1"/>
        <v>0.62293333333333301</v>
      </c>
      <c r="F28" t="s">
        <v>8</v>
      </c>
      <c r="G28">
        <v>2.0250000000000001E-2</v>
      </c>
      <c r="H28">
        <v>0.60268333333333302</v>
      </c>
    </row>
    <row r="29" spans="1:8" x14ac:dyDescent="0.2">
      <c r="A29" s="1">
        <v>43313.625</v>
      </c>
      <c r="B29">
        <v>930</v>
      </c>
      <c r="C29" s="3">
        <v>0</v>
      </c>
      <c r="D29" s="2">
        <v>5.1168333333333296</v>
      </c>
      <c r="E29" s="4">
        <f t="shared" si="1"/>
        <v>5.1168333333333296</v>
      </c>
      <c r="F29" t="s">
        <v>8</v>
      </c>
      <c r="G29">
        <v>2.8517166666666598</v>
      </c>
      <c r="H29">
        <v>2.2651166666666698</v>
      </c>
    </row>
    <row r="30" spans="1:8" x14ac:dyDescent="0.2">
      <c r="A30" s="1">
        <v>43313.625</v>
      </c>
      <c r="B30">
        <v>946</v>
      </c>
      <c r="C30" s="3">
        <v>0</v>
      </c>
      <c r="D30" s="2">
        <v>3.24603333333333</v>
      </c>
      <c r="E30" s="4">
        <f t="shared" si="1"/>
        <v>3.24603333333333</v>
      </c>
      <c r="F30" t="s">
        <v>8</v>
      </c>
      <c r="G30">
        <v>2.5383166666666601</v>
      </c>
      <c r="H30">
        <v>0.70771666666666988</v>
      </c>
    </row>
    <row r="31" spans="1:8" x14ac:dyDescent="0.2">
      <c r="A31" s="1">
        <v>43313.625</v>
      </c>
      <c r="B31">
        <v>994</v>
      </c>
      <c r="C31" s="3">
        <v>0</v>
      </c>
      <c r="D31" s="2">
        <v>2.0603666666666598</v>
      </c>
      <c r="E31" s="4">
        <f t="shared" si="1"/>
        <v>2.0603666666666598</v>
      </c>
      <c r="F31" t="s">
        <v>8</v>
      </c>
      <c r="G31">
        <v>1.586666666666666</v>
      </c>
      <c r="H31">
        <v>0.47369999999999379</v>
      </c>
    </row>
    <row r="32" spans="1:8" x14ac:dyDescent="0.2">
      <c r="A32" s="1">
        <v>43313.625</v>
      </c>
      <c r="B32">
        <v>1086</v>
      </c>
      <c r="C32" s="3">
        <v>0</v>
      </c>
      <c r="D32" s="2">
        <v>2.8354666666666599</v>
      </c>
      <c r="E32" s="4">
        <f t="shared" si="1"/>
        <v>2.8354666666666599</v>
      </c>
      <c r="F32" t="s">
        <v>8</v>
      </c>
      <c r="G32">
        <v>2.0258166666666635</v>
      </c>
      <c r="H32">
        <v>0.80964999999999643</v>
      </c>
    </row>
    <row r="33" spans="1:8" x14ac:dyDescent="0.2">
      <c r="A33" s="1">
        <v>43313.625</v>
      </c>
      <c r="B33">
        <v>1202</v>
      </c>
      <c r="C33" s="3">
        <v>0</v>
      </c>
      <c r="D33" s="2">
        <v>3.6962999999999999</v>
      </c>
      <c r="E33" s="4">
        <f t="shared" si="1"/>
        <v>3.6962999999999999</v>
      </c>
      <c r="F33" t="s">
        <v>8</v>
      </c>
      <c r="G33">
        <v>1.3119499999999966</v>
      </c>
      <c r="H33">
        <v>2.3843500000000031</v>
      </c>
    </row>
    <row r="34" spans="1:8" x14ac:dyDescent="0.2">
      <c r="A34" s="1">
        <v>43313.625</v>
      </c>
      <c r="B34">
        <v>1334</v>
      </c>
      <c r="C34" s="3">
        <v>0</v>
      </c>
      <c r="D34" s="2">
        <v>2.13896666666666</v>
      </c>
      <c r="E34" s="4">
        <f t="shared" si="1"/>
        <v>2.13896666666666</v>
      </c>
      <c r="F34" t="s">
        <v>8</v>
      </c>
      <c r="G34">
        <v>1.026</v>
      </c>
      <c r="H34">
        <v>1.11296666666666</v>
      </c>
    </row>
    <row r="35" spans="1:8" x14ac:dyDescent="0.2">
      <c r="A35" s="1">
        <v>43313.625</v>
      </c>
      <c r="B35">
        <v>1500</v>
      </c>
      <c r="C35" s="3">
        <v>0</v>
      </c>
      <c r="D35" s="2">
        <v>0.81840000000000002</v>
      </c>
      <c r="E35" s="4">
        <f t="shared" si="1"/>
        <v>0.81840000000000002</v>
      </c>
      <c r="F35" t="s">
        <v>8</v>
      </c>
      <c r="G35">
        <v>0.43841666666666601</v>
      </c>
      <c r="H35">
        <v>0.37998333333333401</v>
      </c>
    </row>
    <row r="36" spans="1:8" x14ac:dyDescent="0.2">
      <c r="A36" s="1">
        <v>43313.625</v>
      </c>
      <c r="B36">
        <v>1507</v>
      </c>
      <c r="C36" s="3">
        <v>0</v>
      </c>
      <c r="D36" s="2">
        <v>9.5723500000000001</v>
      </c>
      <c r="E36" s="4">
        <f t="shared" si="1"/>
        <v>9.5723500000000001</v>
      </c>
      <c r="F36" t="s">
        <v>8</v>
      </c>
      <c r="G36">
        <v>5.4280999999999997</v>
      </c>
      <c r="H36">
        <v>4.1442500000000004</v>
      </c>
    </row>
    <row r="37" spans="1:8" x14ac:dyDescent="0.2">
      <c r="A37" s="1">
        <v>43313.625</v>
      </c>
      <c r="B37">
        <v>1796</v>
      </c>
      <c r="C37" s="3">
        <v>0</v>
      </c>
      <c r="D37" s="2">
        <v>6.39333333333333E-2</v>
      </c>
      <c r="E37" s="4">
        <f t="shared" si="1"/>
        <v>6.39333333333333E-2</v>
      </c>
      <c r="F37" t="s">
        <v>8</v>
      </c>
      <c r="G37" s="6">
        <v>1E-4</v>
      </c>
      <c r="H37">
        <v>6.39333333333333E-2</v>
      </c>
    </row>
    <row r="38" spans="1:8" x14ac:dyDescent="0.2">
      <c r="A38" s="1">
        <v>43313.625</v>
      </c>
      <c r="B38">
        <v>2004</v>
      </c>
      <c r="C38" s="3">
        <v>0</v>
      </c>
      <c r="D38" s="2">
        <v>2.9462166666666598</v>
      </c>
      <c r="E38" s="4">
        <f t="shared" si="1"/>
        <v>2.9462166666666598</v>
      </c>
      <c r="F38" t="s">
        <v>8</v>
      </c>
      <c r="G38">
        <v>1.5898499999999933</v>
      </c>
      <c r="H38">
        <v>1.3563666666666665</v>
      </c>
    </row>
    <row r="39" spans="1:8" x14ac:dyDescent="0.2">
      <c r="A39" s="1">
        <v>43313.625</v>
      </c>
      <c r="B39">
        <v>2034</v>
      </c>
      <c r="C39" s="3">
        <v>0</v>
      </c>
      <c r="D39" s="2">
        <v>2.1930666666666601</v>
      </c>
      <c r="E39" s="4">
        <f t="shared" si="1"/>
        <v>2.1930666666666601</v>
      </c>
      <c r="F39" t="s">
        <v>8</v>
      </c>
      <c r="G39">
        <v>1.4658166666666601</v>
      </c>
      <c r="H39">
        <v>0.72724999999999995</v>
      </c>
    </row>
    <row r="40" spans="1:8" x14ac:dyDescent="0.2">
      <c r="A40" s="1">
        <v>43313.625</v>
      </c>
      <c r="B40">
        <v>2158</v>
      </c>
      <c r="C40" s="3">
        <v>0</v>
      </c>
      <c r="D40" s="2">
        <v>2.0989</v>
      </c>
      <c r="E40" s="4">
        <f t="shared" si="1"/>
        <v>2.0989</v>
      </c>
      <c r="F40" t="s">
        <v>8</v>
      </c>
      <c r="G40">
        <v>1.3910833333333299</v>
      </c>
      <c r="H40">
        <v>0.70781666666667009</v>
      </c>
    </row>
    <row r="41" spans="1:8" x14ac:dyDescent="0.2">
      <c r="A41" s="1">
        <v>43313.625</v>
      </c>
      <c r="B41">
        <v>2378</v>
      </c>
      <c r="C41" s="3">
        <v>0</v>
      </c>
      <c r="D41" s="2">
        <v>1.50078333333333</v>
      </c>
      <c r="E41" s="4">
        <f t="shared" si="1"/>
        <v>1.50078333333333</v>
      </c>
      <c r="F41" t="s">
        <v>8</v>
      </c>
      <c r="G41">
        <v>1.3050000000000001E-2</v>
      </c>
      <c r="H41">
        <v>1.48773333333333</v>
      </c>
    </row>
    <row r="42" spans="1:8" x14ac:dyDescent="0.2">
      <c r="A42" s="1">
        <v>43313.625</v>
      </c>
      <c r="B42">
        <v>2472</v>
      </c>
      <c r="C42" s="3">
        <v>0</v>
      </c>
      <c r="D42" s="2">
        <v>2.9106333333333301</v>
      </c>
      <c r="E42" s="4">
        <f t="shared" si="1"/>
        <v>2.9106333333333301</v>
      </c>
      <c r="F42" t="s">
        <v>8</v>
      </c>
      <c r="G42">
        <v>2.2675999999999998</v>
      </c>
      <c r="H42">
        <v>0.64303333333333024</v>
      </c>
    </row>
    <row r="43" spans="1:8" x14ac:dyDescent="0.2">
      <c r="A43" s="1">
        <v>43313.625</v>
      </c>
      <c r="B43">
        <v>2859</v>
      </c>
      <c r="C43" s="3">
        <v>0</v>
      </c>
      <c r="D43" s="2">
        <v>1.2534333333333301</v>
      </c>
      <c r="E43" s="4">
        <f t="shared" si="1"/>
        <v>1.2534333333333301</v>
      </c>
      <c r="F43" t="s">
        <v>8</v>
      </c>
      <c r="G43">
        <v>0.81415000000000004</v>
      </c>
      <c r="H43">
        <v>0.43928333333333003</v>
      </c>
    </row>
    <row r="44" spans="1:8" x14ac:dyDescent="0.2">
      <c r="A44" s="1">
        <v>43313.625</v>
      </c>
      <c r="B44">
        <v>2953</v>
      </c>
      <c r="C44" s="3">
        <v>0</v>
      </c>
      <c r="D44" s="2">
        <v>1.66703333333333</v>
      </c>
      <c r="E44" s="4">
        <f t="shared" si="1"/>
        <v>1.66703333333333</v>
      </c>
      <c r="F44" t="s">
        <v>8</v>
      </c>
      <c r="G44">
        <v>1.2023999999999999</v>
      </c>
      <c r="H44">
        <v>0.46463333333333012</v>
      </c>
    </row>
    <row r="45" spans="1:8" x14ac:dyDescent="0.2">
      <c r="A45" s="1">
        <v>43313.625</v>
      </c>
      <c r="B45">
        <v>3273</v>
      </c>
      <c r="C45" s="3">
        <v>0</v>
      </c>
      <c r="D45" s="2">
        <v>1.04751666666666</v>
      </c>
      <c r="E45" s="4">
        <f t="shared" si="1"/>
        <v>1.04751666666666</v>
      </c>
      <c r="F45" t="s">
        <v>8</v>
      </c>
      <c r="G45">
        <v>0.70648333333333302</v>
      </c>
      <c r="H45">
        <v>0.34103333333332697</v>
      </c>
    </row>
    <row r="46" spans="1:8" x14ac:dyDescent="0.2">
      <c r="A46" s="1">
        <v>43313.625</v>
      </c>
      <c r="B46">
        <v>3401</v>
      </c>
      <c r="C46" s="3">
        <v>0</v>
      </c>
      <c r="D46" s="2">
        <v>3.42766666666666</v>
      </c>
      <c r="E46" s="4">
        <f t="shared" si="1"/>
        <v>3.42766666666666</v>
      </c>
      <c r="F46" t="s">
        <v>8</v>
      </c>
      <c r="G46">
        <v>2.3183333333333299E-2</v>
      </c>
      <c r="H46">
        <v>3.4044833333333266</v>
      </c>
    </row>
    <row r="47" spans="1:8" x14ac:dyDescent="0.2">
      <c r="A47" s="1">
        <v>43313.625</v>
      </c>
      <c r="B47">
        <v>3778</v>
      </c>
      <c r="C47" s="3">
        <v>0</v>
      </c>
      <c r="D47" s="2">
        <v>2.9174500000000001</v>
      </c>
      <c r="E47" s="4">
        <f t="shared" si="1"/>
        <v>2.9174500000000001</v>
      </c>
      <c r="F47" t="s">
        <v>8</v>
      </c>
      <c r="G47">
        <v>1.4142666666666599</v>
      </c>
      <c r="H47">
        <v>1.5031833333333402</v>
      </c>
    </row>
    <row r="48" spans="1:8" x14ac:dyDescent="0.2">
      <c r="A48" s="1">
        <v>43313.625</v>
      </c>
      <c r="B48">
        <v>3831</v>
      </c>
      <c r="C48" s="3">
        <v>0</v>
      </c>
      <c r="D48" s="2">
        <v>2.6917499999999999</v>
      </c>
      <c r="E48" s="4">
        <f t="shared" si="1"/>
        <v>2.6917499999999999</v>
      </c>
      <c r="F48" t="s">
        <v>8</v>
      </c>
      <c r="G48">
        <v>1.9977</v>
      </c>
      <c r="H48">
        <v>0.69404999999999983</v>
      </c>
    </row>
    <row r="49" spans="1:8" x14ac:dyDescent="0.2">
      <c r="A49" s="1">
        <v>43313.625</v>
      </c>
      <c r="B49">
        <v>3893</v>
      </c>
      <c r="C49" s="3">
        <v>0</v>
      </c>
      <c r="D49" s="2">
        <v>3.42208333333333</v>
      </c>
      <c r="E49" s="4">
        <f t="shared" si="1"/>
        <v>3.42208333333333</v>
      </c>
      <c r="F49" t="s">
        <v>8</v>
      </c>
      <c r="G49">
        <v>1.7255333333333265</v>
      </c>
      <c r="H49">
        <v>1.6965500000000036</v>
      </c>
    </row>
    <row r="50" spans="1:8" x14ac:dyDescent="0.2">
      <c r="A50" s="1">
        <v>43313.625</v>
      </c>
      <c r="B50">
        <v>4213</v>
      </c>
      <c r="C50" s="3">
        <v>0</v>
      </c>
      <c r="D50" s="2">
        <v>0.23898333333333299</v>
      </c>
      <c r="E50" s="4">
        <f t="shared" si="1"/>
        <v>0.23898333333333299</v>
      </c>
      <c r="F50" t="s">
        <v>8</v>
      </c>
      <c r="G50" s="6">
        <v>1E-4</v>
      </c>
      <c r="H50">
        <v>0.23898333333333299</v>
      </c>
    </row>
    <row r="51" spans="1:8" x14ac:dyDescent="0.2">
      <c r="A51" s="1">
        <v>43313.625</v>
      </c>
      <c r="B51">
        <v>4298</v>
      </c>
      <c r="C51" s="3">
        <v>0</v>
      </c>
      <c r="D51" s="2">
        <v>1.82195</v>
      </c>
      <c r="E51" s="4">
        <f t="shared" si="1"/>
        <v>1.82195</v>
      </c>
      <c r="F51" t="s">
        <v>8</v>
      </c>
      <c r="G51">
        <v>1.3639666666666601</v>
      </c>
      <c r="H51">
        <v>0.45798333333333985</v>
      </c>
    </row>
    <row r="52" spans="1:8" x14ac:dyDescent="0.2">
      <c r="A52" s="1">
        <v>43313.625</v>
      </c>
      <c r="B52">
        <v>370</v>
      </c>
      <c r="C52" s="3" t="e">
        <f t="array" ref="C52">VLOOKUP(A52&amp;B52,IF({1,0},#REF!&amp;#REF!,#REF!),2,FALSE)</f>
        <v>#N/A</v>
      </c>
      <c r="D52" s="3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2.0943166666666602</v>
      </c>
      <c r="H52">
        <v>1.27</v>
      </c>
    </row>
    <row r="53" spans="1:8" x14ac:dyDescent="0.2">
      <c r="A53" s="1">
        <v>43313.625</v>
      </c>
      <c r="B53">
        <v>2638</v>
      </c>
      <c r="C53" s="3" t="e">
        <f t="array" ref="C53">VLOOKUP(A53&amp;B53,IF({1,0},#REF!&amp;#REF!,#REF!),2,FALSE)</f>
        <v>#N/A</v>
      </c>
      <c r="D53" s="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2.1447166666666595</v>
      </c>
      <c r="H53">
        <v>1.0293833333333406</v>
      </c>
    </row>
    <row r="54" spans="1:8" x14ac:dyDescent="0.2">
      <c r="A54" s="1">
        <v>43313.625</v>
      </c>
      <c r="B54">
        <v>3482</v>
      </c>
      <c r="C54" s="3" t="e">
        <f t="array" ref="C54">VLOOKUP(A54&amp;B54,IF({1,0},#REF!&amp;#REF!,#REF!),2,FALSE)</f>
        <v>#N/A</v>
      </c>
      <c r="D54" s="3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0.49598333333333333</v>
      </c>
      <c r="H54">
        <v>0.61256666666666659</v>
      </c>
    </row>
    <row r="55" spans="1:8" x14ac:dyDescent="0.2">
      <c r="A55" s="1">
        <v>43313.625</v>
      </c>
      <c r="B55">
        <v>3723</v>
      </c>
      <c r="C55" s="3" t="e">
        <f t="array" ref="C55">VLOOKUP(A55&amp;B55,IF({1,0},#REF!&amp;#REF!,#REF!),2,FALSE)</f>
        <v>#N/A</v>
      </c>
      <c r="D55" s="3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1.7172666666666667</v>
      </c>
      <c r="H55">
        <v>1.0311999999999935</v>
      </c>
    </row>
    <row r="56" spans="1:8" x14ac:dyDescent="0.2">
      <c r="A56" s="1">
        <v>43313.625</v>
      </c>
      <c r="B56">
        <v>3967</v>
      </c>
      <c r="C56" s="3" t="e">
        <f t="array" ref="C56">VLOOKUP(A56&amp;B56,IF({1,0},#REF!&amp;#REF!,#REF!),2,FALSE)</f>
        <v>#N/A</v>
      </c>
      <c r="D56" s="3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5.0001166666666599</v>
      </c>
      <c r="H56">
        <v>1.0414500000000002</v>
      </c>
    </row>
    <row r="57" spans="1:8" x14ac:dyDescent="0.2">
      <c r="A57" s="1">
        <v>43313.625</v>
      </c>
      <c r="B57">
        <v>4998</v>
      </c>
      <c r="C57" s="3" t="e">
        <f t="array" ref="C57">VLOOKUP(A57&amp;B57,IF({1,0},#REF!&amp;#REF!,#REF!),2,FALSE)</f>
        <v>#N/A</v>
      </c>
      <c r="D57" s="3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3.8431999999999897</v>
      </c>
      <c r="H57">
        <v>0.98150000000001025</v>
      </c>
    </row>
    <row r="58" spans="1:8" x14ac:dyDescent="0.2">
      <c r="A58" s="1">
        <v>43313.625</v>
      </c>
      <c r="B58">
        <v>5749</v>
      </c>
      <c r="C58" s="3" t="e">
        <f t="array" ref="C58">VLOOKUP(A58&amp;B58,IF({1,0},#REF!&amp;#REF!,#REF!),2,FALSE)</f>
        <v>#N/A</v>
      </c>
      <c r="D58" s="3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2.0812999999999899</v>
      </c>
      <c r="H58">
        <v>1.3405666666666702</v>
      </c>
    </row>
    <row r="59" spans="1:8" x14ac:dyDescent="0.2">
      <c r="A59" s="1">
        <v>43313.625</v>
      </c>
      <c r="B59">
        <v>6248</v>
      </c>
      <c r="C59" s="3" t="e">
        <f t="array" ref="C59">VLOOKUP(A59&amp;B59,IF({1,0},#REF!&amp;#REF!,#REF!),2,FALSE)</f>
        <v>#N/A</v>
      </c>
      <c r="D59" s="3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3.5592166666666598</v>
      </c>
      <c r="H59">
        <v>2.0867166666666703</v>
      </c>
    </row>
    <row r="60" spans="1:8" x14ac:dyDescent="0.2">
      <c r="A60" s="1">
        <v>43313.625</v>
      </c>
      <c r="B60">
        <v>6691</v>
      </c>
      <c r="C60" s="3" t="e">
        <f t="array" ref="C60">VLOOKUP(A60&amp;B60,IF({1,0},#REF!&amp;#REF!,#REF!),2,FALSE)</f>
        <v>#N/A</v>
      </c>
      <c r="D60" s="3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2.6409499999999966</v>
      </c>
      <c r="H60">
        <v>1.3064166666666632</v>
      </c>
    </row>
    <row r="61" spans="1:8" x14ac:dyDescent="0.2">
      <c r="A61" s="1">
        <v>43313.625</v>
      </c>
      <c r="B61">
        <v>7024</v>
      </c>
      <c r="C61" s="3" t="e">
        <f t="array" ref="C61">VLOOKUP(A61&amp;B61,IF({1,0},#REF!&amp;#REF!,#REF!),2,FALSE)</f>
        <v>#N/A</v>
      </c>
      <c r="D61" s="3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1.7541500000000001</v>
      </c>
      <c r="H61">
        <v>0.76569999999999983</v>
      </c>
    </row>
    <row r="62" spans="1:8" x14ac:dyDescent="0.2">
      <c r="A62" s="1">
        <v>43313.625</v>
      </c>
      <c r="B62">
        <v>7875</v>
      </c>
      <c r="C62" s="3" t="e">
        <f t="array" ref="C62">VLOOKUP(A62&amp;B62,IF({1,0},#REF!&amp;#REF!,#REF!),2,FALSE)</f>
        <v>#N/A</v>
      </c>
      <c r="D62" s="3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0.85461666666666658</v>
      </c>
      <c r="H62">
        <v>0.54031666666666345</v>
      </c>
    </row>
    <row r="63" spans="1:8" x14ac:dyDescent="0.2">
      <c r="A63" s="1">
        <v>43313.625</v>
      </c>
      <c r="B63">
        <v>8236</v>
      </c>
      <c r="C63" s="3" t="e">
        <f t="array" ref="C63">VLOOKUP(A63&amp;B63,IF({1,0},#REF!&amp;#REF!,#REF!),2,FALSE)</f>
        <v>#N/A</v>
      </c>
      <c r="D63" s="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1.2081666666666666</v>
      </c>
      <c r="H63">
        <v>0.46363333333333334</v>
      </c>
    </row>
    <row r="64" spans="1:8" x14ac:dyDescent="0.2">
      <c r="A64" s="1">
        <v>43313.625</v>
      </c>
      <c r="B64">
        <v>8645</v>
      </c>
      <c r="C64" s="3" t="e">
        <f t="array" ref="C64">VLOOKUP(A64&amp;B64,IF({1,0},#REF!&amp;#REF!,#REF!),2,FALSE)</f>
        <v>#N/A</v>
      </c>
      <c r="D64" s="3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0.80608333333333304</v>
      </c>
      <c r="H64">
        <v>0.26979999999999693</v>
      </c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F08BD-D3BA-3A43-86DC-7AC22AD297EE}">
  <dimension ref="A1:H17111"/>
  <sheetViews>
    <sheetView topLeftCell="A26" zoomScale="173" workbookViewId="0">
      <selection activeCell="G50" sqref="G50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43313.666666666664</v>
      </c>
      <c r="B2">
        <v>252</v>
      </c>
      <c r="C2" s="3">
        <v>2.9074166666666601</v>
      </c>
      <c r="D2" s="2">
        <v>5.91198333333333</v>
      </c>
      <c r="E2" s="4">
        <f>D2-C2</f>
        <v>3.0045666666666699</v>
      </c>
      <c r="F2" t="s">
        <v>6</v>
      </c>
      <c r="G2" s="6">
        <v>1E-4</v>
      </c>
      <c r="H2">
        <v>5.91198333333333</v>
      </c>
    </row>
    <row r="3" spans="1:8" x14ac:dyDescent="0.2">
      <c r="A3" s="1">
        <v>43313.666666666664</v>
      </c>
      <c r="B3">
        <v>379</v>
      </c>
      <c r="C3" s="3">
        <v>2.3470833333333299</v>
      </c>
      <c r="D3" s="2">
        <v>4.95813333333333</v>
      </c>
      <c r="E3" s="4">
        <f t="shared" ref="E3:E21" si="0">D3-C3</f>
        <v>2.6110500000000001</v>
      </c>
      <c r="F3" t="s">
        <v>6</v>
      </c>
      <c r="G3">
        <v>3.7658833333333304</v>
      </c>
      <c r="H3">
        <v>1.1922499999999996</v>
      </c>
    </row>
    <row r="4" spans="1:8" x14ac:dyDescent="0.2">
      <c r="A4" s="1">
        <v>43313.666666666664</v>
      </c>
      <c r="B4">
        <v>434</v>
      </c>
      <c r="C4" s="3">
        <v>4.2031333333333301</v>
      </c>
      <c r="D4" s="2">
        <v>5.0978833333333302</v>
      </c>
      <c r="E4" s="4">
        <f t="shared" si="0"/>
        <v>0.89475000000000016</v>
      </c>
      <c r="F4" t="s">
        <v>6</v>
      </c>
      <c r="G4">
        <v>3.9943166666666601</v>
      </c>
      <c r="H4">
        <v>1.1035666666666701</v>
      </c>
    </row>
    <row r="5" spans="1:8" x14ac:dyDescent="0.2">
      <c r="A5" s="1">
        <v>43313.666666666664</v>
      </c>
      <c r="B5">
        <v>1718</v>
      </c>
      <c r="C5" s="3">
        <v>3.4572333333333298</v>
      </c>
      <c r="D5" s="2">
        <v>4.6633833333333303</v>
      </c>
      <c r="E5" s="4">
        <f t="shared" si="0"/>
        <v>1.2061500000000005</v>
      </c>
      <c r="F5" t="s">
        <v>6</v>
      </c>
      <c r="G5" s="6">
        <v>1E-4</v>
      </c>
      <c r="H5">
        <v>4.6633833333333303</v>
      </c>
    </row>
    <row r="6" spans="1:8" x14ac:dyDescent="0.2">
      <c r="A6" s="1">
        <v>43313.666666666664</v>
      </c>
      <c r="B6">
        <v>1792</v>
      </c>
      <c r="C6" s="3">
        <v>3.3951833333333301</v>
      </c>
      <c r="D6" s="2">
        <v>4.5162666666666604</v>
      </c>
      <c r="E6" s="4">
        <f t="shared" si="0"/>
        <v>1.1210833333333303</v>
      </c>
      <c r="F6" t="s">
        <v>6</v>
      </c>
      <c r="G6" s="6">
        <v>1E-4</v>
      </c>
      <c r="H6">
        <v>4.5162666666666604</v>
      </c>
    </row>
    <row r="7" spans="1:8" x14ac:dyDescent="0.2">
      <c r="A7" s="1">
        <v>43313.666666666664</v>
      </c>
      <c r="B7">
        <v>2925</v>
      </c>
      <c r="C7" s="3">
        <v>2.9498867924528298</v>
      </c>
      <c r="D7" s="2">
        <v>4.7243773584905604</v>
      </c>
      <c r="E7" s="4">
        <f t="shared" si="0"/>
        <v>1.7744905660377306</v>
      </c>
      <c r="F7" t="s">
        <v>6</v>
      </c>
      <c r="G7" s="6">
        <v>1E-4</v>
      </c>
      <c r="H7">
        <v>4.7243773584905604</v>
      </c>
    </row>
    <row r="8" spans="1:8" x14ac:dyDescent="0.2">
      <c r="A8" s="1">
        <v>43313.666666666664</v>
      </c>
      <c r="B8">
        <v>3649</v>
      </c>
      <c r="C8" s="3">
        <v>2.81995</v>
      </c>
      <c r="D8" s="2">
        <v>7.4113666666666598</v>
      </c>
      <c r="E8" s="4">
        <f t="shared" si="0"/>
        <v>4.5914166666666603</v>
      </c>
      <c r="F8" t="s">
        <v>6</v>
      </c>
      <c r="G8">
        <v>3.7350666666666599</v>
      </c>
      <c r="H8">
        <v>3.6762999999999999</v>
      </c>
    </row>
    <row r="9" spans="1:8" x14ac:dyDescent="0.2">
      <c r="A9" s="1">
        <v>43313.666666666664</v>
      </c>
      <c r="B9">
        <v>4357</v>
      </c>
      <c r="C9" s="3">
        <v>1.7933333333333299</v>
      </c>
      <c r="D9" s="2">
        <v>1.9561333333333299</v>
      </c>
      <c r="E9" s="4">
        <f t="shared" si="0"/>
        <v>0.16280000000000006</v>
      </c>
      <c r="F9" t="s">
        <v>6</v>
      </c>
      <c r="G9">
        <v>1.29108333333333</v>
      </c>
      <c r="H9">
        <v>0.66504999999999992</v>
      </c>
    </row>
    <row r="10" spans="1:8" x14ac:dyDescent="0.2">
      <c r="A10" s="1">
        <v>43313.666666666664</v>
      </c>
      <c r="B10">
        <v>4874</v>
      </c>
      <c r="C10" s="3">
        <v>1.45006666666666</v>
      </c>
      <c r="D10" s="2">
        <v>5.0301833333333299</v>
      </c>
      <c r="E10" s="4">
        <f t="shared" si="0"/>
        <v>3.5801166666666697</v>
      </c>
      <c r="F10" t="s">
        <v>6</v>
      </c>
      <c r="G10">
        <v>2.63171666666666</v>
      </c>
      <c r="H10">
        <v>2.3984666666666699</v>
      </c>
    </row>
    <row r="11" spans="1:8" x14ac:dyDescent="0.2">
      <c r="A11" s="1">
        <v>43313.666666666664</v>
      </c>
      <c r="B11">
        <v>5035</v>
      </c>
      <c r="C11" s="3">
        <v>1.6179333333333299</v>
      </c>
      <c r="D11" s="2">
        <v>4.74393333333333</v>
      </c>
      <c r="E11" s="4">
        <f t="shared" si="0"/>
        <v>3.1260000000000003</v>
      </c>
      <c r="F11" t="s">
        <v>6</v>
      </c>
      <c r="G11" s="6">
        <v>1E-4</v>
      </c>
      <c r="H11">
        <v>4.74393333333333</v>
      </c>
    </row>
    <row r="12" spans="1:8" x14ac:dyDescent="0.2">
      <c r="A12" s="1">
        <v>43313.666666666664</v>
      </c>
      <c r="B12">
        <v>93</v>
      </c>
      <c r="C12" s="3">
        <v>2.3391166666666598</v>
      </c>
      <c r="D12" s="2">
        <v>0.339683333333333</v>
      </c>
      <c r="E12" s="4">
        <f t="shared" si="0"/>
        <v>-1.999433333333327</v>
      </c>
      <c r="F12" t="s">
        <v>7</v>
      </c>
      <c r="G12">
        <v>2.9999999999999997E-4</v>
      </c>
      <c r="H12">
        <v>0.33938333333333298</v>
      </c>
    </row>
    <row r="13" spans="1:8" x14ac:dyDescent="0.2">
      <c r="A13" s="1">
        <v>43313.666666666664</v>
      </c>
      <c r="B13">
        <v>171</v>
      </c>
      <c r="C13" s="3">
        <v>4.0603499999999997</v>
      </c>
      <c r="D13" s="2">
        <v>2.2266333333333299</v>
      </c>
      <c r="E13" s="4">
        <f t="shared" si="0"/>
        <v>-1.8337166666666698</v>
      </c>
      <c r="F13" t="s">
        <v>7</v>
      </c>
      <c r="G13" s="6">
        <v>1E-4</v>
      </c>
      <c r="H13">
        <v>2.2266333333333299</v>
      </c>
    </row>
    <row r="14" spans="1:8" x14ac:dyDescent="0.2">
      <c r="A14" s="1">
        <v>43313.666666666664</v>
      </c>
      <c r="B14">
        <v>668</v>
      </c>
      <c r="C14" s="3">
        <v>3.6444166666666602</v>
      </c>
      <c r="D14" s="2">
        <v>4.4315166666666599</v>
      </c>
      <c r="E14" s="4">
        <f t="shared" si="0"/>
        <v>0.78709999999999969</v>
      </c>
      <c r="F14" t="s">
        <v>7</v>
      </c>
      <c r="G14">
        <v>2.870366666666667</v>
      </c>
      <c r="H14">
        <v>1.5611499999999929</v>
      </c>
    </row>
    <row r="15" spans="1:8" x14ac:dyDescent="0.2">
      <c r="A15" s="1">
        <v>43313.666666666664</v>
      </c>
      <c r="B15">
        <v>781</v>
      </c>
      <c r="C15" s="3">
        <v>3.2985166666666599</v>
      </c>
      <c r="D15" s="2">
        <v>1.6394166666666601</v>
      </c>
      <c r="E15" s="4">
        <f t="shared" si="0"/>
        <v>-1.6590999999999998</v>
      </c>
      <c r="F15" t="s">
        <v>7</v>
      </c>
      <c r="G15">
        <v>1.1941166666666601</v>
      </c>
      <c r="H15">
        <v>0.44530000000000003</v>
      </c>
    </row>
    <row r="16" spans="1:8" x14ac:dyDescent="0.2">
      <c r="A16" s="1">
        <v>43313.666666666664</v>
      </c>
      <c r="B16">
        <v>974</v>
      </c>
      <c r="C16" s="3">
        <v>3.7890166666666598</v>
      </c>
      <c r="D16" s="2">
        <v>4.1932</v>
      </c>
      <c r="E16" s="4">
        <f t="shared" si="0"/>
        <v>0.40418333333334022</v>
      </c>
      <c r="F16" t="s">
        <v>7</v>
      </c>
      <c r="G16">
        <v>2.3947333333333329</v>
      </c>
      <c r="H16">
        <v>1.7984666666666671</v>
      </c>
    </row>
    <row r="17" spans="1:8" x14ac:dyDescent="0.2">
      <c r="A17" s="1">
        <v>43313.666666666664</v>
      </c>
      <c r="B17">
        <v>1192</v>
      </c>
      <c r="C17" s="3">
        <v>3.5164166666666601</v>
      </c>
      <c r="D17" s="2">
        <v>3.6914833333333301</v>
      </c>
      <c r="E17" s="4">
        <f t="shared" si="0"/>
        <v>0.17506666666667003</v>
      </c>
      <c r="F17" t="s">
        <v>7</v>
      </c>
      <c r="G17">
        <v>2.8705833333333266</v>
      </c>
      <c r="H17">
        <v>0.82090000000000352</v>
      </c>
    </row>
    <row r="18" spans="1:8" x14ac:dyDescent="0.2">
      <c r="A18" s="1">
        <v>43313.666666666664</v>
      </c>
      <c r="B18">
        <v>1354</v>
      </c>
      <c r="C18" s="3">
        <v>2.9420666666666602</v>
      </c>
      <c r="D18" s="2">
        <v>4.5244499999999999</v>
      </c>
      <c r="E18" s="4">
        <f t="shared" si="0"/>
        <v>1.5823833333333397</v>
      </c>
      <c r="F18" t="s">
        <v>7</v>
      </c>
      <c r="G18">
        <v>3.6956999999999933</v>
      </c>
      <c r="H18">
        <v>0.82875000000000654</v>
      </c>
    </row>
    <row r="19" spans="1:8" x14ac:dyDescent="0.2">
      <c r="A19" s="1">
        <v>43313.666666666664</v>
      </c>
      <c r="B19">
        <v>1714</v>
      </c>
      <c r="C19" s="3">
        <v>1.61926666666666</v>
      </c>
      <c r="D19" s="2">
        <v>3.8921666666666601</v>
      </c>
      <c r="E19" s="4">
        <f t="shared" si="0"/>
        <v>2.2728999999999999</v>
      </c>
      <c r="F19" t="s">
        <v>7</v>
      </c>
      <c r="G19">
        <v>3.0799999999999934</v>
      </c>
      <c r="H19">
        <v>0.8121666666666667</v>
      </c>
    </row>
    <row r="20" spans="1:8" x14ac:dyDescent="0.2">
      <c r="A20" s="1">
        <v>43313.666666666664</v>
      </c>
      <c r="B20">
        <v>1800</v>
      </c>
      <c r="C20" s="3">
        <v>5.1980166666666596</v>
      </c>
      <c r="D20" s="2">
        <v>3.8951333333333298</v>
      </c>
      <c r="E20" s="4">
        <f t="shared" si="0"/>
        <v>-1.3028833333333298</v>
      </c>
      <c r="F20" t="s">
        <v>7</v>
      </c>
      <c r="G20">
        <v>2.6968999999999999</v>
      </c>
      <c r="H20">
        <v>1.1982333333333299</v>
      </c>
    </row>
    <row r="21" spans="1:8" x14ac:dyDescent="0.2">
      <c r="A21" s="1">
        <v>43313.666666666664</v>
      </c>
      <c r="B21">
        <v>2129</v>
      </c>
      <c r="C21" s="3">
        <v>3.2388833333333298</v>
      </c>
      <c r="D21" s="2">
        <v>2.9438833333333299</v>
      </c>
      <c r="E21" s="4">
        <f t="shared" si="0"/>
        <v>-0.29499999999999993</v>
      </c>
      <c r="F21" t="s">
        <v>7</v>
      </c>
      <c r="G21">
        <v>1.8603333333333301</v>
      </c>
      <c r="H21">
        <v>1.0835499999999998</v>
      </c>
    </row>
    <row r="22" spans="1:8" x14ac:dyDescent="0.2">
      <c r="A22" s="1">
        <v>43313.666666666664</v>
      </c>
      <c r="B22">
        <v>59</v>
      </c>
      <c r="C22" s="3">
        <v>0</v>
      </c>
      <c r="D22" s="2">
        <v>3.6479833333333298</v>
      </c>
      <c r="E22" s="4">
        <f t="shared" ref="E22:E64" si="1">D22-C22</f>
        <v>3.6479833333333298</v>
      </c>
      <c r="F22" t="s">
        <v>8</v>
      </c>
      <c r="G22">
        <v>1.8778666666666599</v>
      </c>
      <c r="H22">
        <v>1.7701166666666699</v>
      </c>
    </row>
    <row r="23" spans="1:8" x14ac:dyDescent="0.2">
      <c r="A23" s="1">
        <v>43313.666666666664</v>
      </c>
      <c r="B23">
        <v>86</v>
      </c>
      <c r="C23" s="3">
        <v>0</v>
      </c>
      <c r="D23" s="2">
        <v>3.9891166666666602</v>
      </c>
      <c r="E23" s="4">
        <f t="shared" si="1"/>
        <v>3.9891166666666602</v>
      </c>
      <c r="F23" t="s">
        <v>8</v>
      </c>
      <c r="G23">
        <v>2.8182666666666636</v>
      </c>
      <c r="H23">
        <v>1.1708499999999966</v>
      </c>
    </row>
    <row r="24" spans="1:8" x14ac:dyDescent="0.2">
      <c r="A24" s="1">
        <v>43313.666666666664</v>
      </c>
      <c r="B24">
        <v>94</v>
      </c>
      <c r="C24" s="3">
        <v>0</v>
      </c>
      <c r="D24" s="2">
        <v>1.4216</v>
      </c>
      <c r="E24" s="4">
        <f t="shared" si="1"/>
        <v>1.4216</v>
      </c>
      <c r="F24" t="s">
        <v>8</v>
      </c>
      <c r="G24">
        <v>0.47239999999999999</v>
      </c>
      <c r="H24">
        <v>0.94920000000000004</v>
      </c>
    </row>
    <row r="25" spans="1:8" x14ac:dyDescent="0.2">
      <c r="A25" s="1">
        <v>43313.666666666664</v>
      </c>
      <c r="B25">
        <v>115</v>
      </c>
      <c r="C25" s="3">
        <v>0</v>
      </c>
      <c r="D25" s="2">
        <v>1.0846166666666599</v>
      </c>
      <c r="E25" s="4">
        <f t="shared" si="1"/>
        <v>1.0846166666666599</v>
      </c>
      <c r="F25" t="s">
        <v>8</v>
      </c>
      <c r="G25">
        <v>0.72619999999999996</v>
      </c>
      <c r="H25">
        <v>0.35841666666665994</v>
      </c>
    </row>
    <row r="26" spans="1:8" x14ac:dyDescent="0.2">
      <c r="A26" s="1">
        <v>43313.666666666664</v>
      </c>
      <c r="B26">
        <v>503</v>
      </c>
      <c r="C26" s="3">
        <v>0</v>
      </c>
      <c r="D26" s="2">
        <v>5.8291500000000003</v>
      </c>
      <c r="E26" s="4">
        <f t="shared" si="1"/>
        <v>5.8291500000000003</v>
      </c>
      <c r="F26" t="s">
        <v>8</v>
      </c>
      <c r="G26">
        <v>4.76344999999999</v>
      </c>
      <c r="H26">
        <v>1.0657000000000103</v>
      </c>
    </row>
    <row r="27" spans="1:8" x14ac:dyDescent="0.2">
      <c r="A27" s="1">
        <v>43313.666666666664</v>
      </c>
      <c r="B27">
        <v>621</v>
      </c>
      <c r="C27" s="3">
        <v>0</v>
      </c>
      <c r="D27" s="2">
        <v>1.08391666666666</v>
      </c>
      <c r="E27" s="4">
        <f t="shared" si="1"/>
        <v>1.08391666666666</v>
      </c>
      <c r="F27" t="s">
        <v>8</v>
      </c>
      <c r="G27">
        <v>0.29101666666666598</v>
      </c>
      <c r="H27">
        <v>0.79289999999999394</v>
      </c>
    </row>
    <row r="28" spans="1:8" x14ac:dyDescent="0.2">
      <c r="A28" s="1">
        <v>43313.666666666664</v>
      </c>
      <c r="B28">
        <v>871</v>
      </c>
      <c r="C28" s="3">
        <v>0</v>
      </c>
      <c r="D28" s="2">
        <v>2.4144999999999999</v>
      </c>
      <c r="E28" s="4">
        <f t="shared" si="1"/>
        <v>2.4144999999999999</v>
      </c>
      <c r="F28" t="s">
        <v>8</v>
      </c>
      <c r="G28">
        <v>1.7677</v>
      </c>
      <c r="H28">
        <v>0.64679999999999982</v>
      </c>
    </row>
    <row r="29" spans="1:8" x14ac:dyDescent="0.2">
      <c r="A29" s="1">
        <v>43313.666666666664</v>
      </c>
      <c r="B29">
        <v>930</v>
      </c>
      <c r="C29" s="3">
        <v>0</v>
      </c>
      <c r="D29" s="2">
        <v>4.8004833333333297</v>
      </c>
      <c r="E29" s="4">
        <f t="shared" si="1"/>
        <v>4.8004833333333297</v>
      </c>
      <c r="F29" t="s">
        <v>8</v>
      </c>
      <c r="G29">
        <v>2.8751000000000002</v>
      </c>
      <c r="H29">
        <v>1.9253833333333294</v>
      </c>
    </row>
    <row r="30" spans="1:8" x14ac:dyDescent="0.2">
      <c r="A30" s="1">
        <v>43313.666666666664</v>
      </c>
      <c r="B30">
        <v>946</v>
      </c>
      <c r="C30" s="3">
        <v>0</v>
      </c>
      <c r="D30" s="2">
        <v>2.6173000000000002</v>
      </c>
      <c r="E30" s="4">
        <f t="shared" si="1"/>
        <v>2.6173000000000002</v>
      </c>
      <c r="F30" t="s">
        <v>8</v>
      </c>
      <c r="G30">
        <v>1.9561666666666633</v>
      </c>
      <c r="H30">
        <v>0.6611333333333369</v>
      </c>
    </row>
    <row r="31" spans="1:8" x14ac:dyDescent="0.2">
      <c r="A31" s="1">
        <v>43313.666666666664</v>
      </c>
      <c r="B31">
        <v>994</v>
      </c>
      <c r="C31" s="3">
        <v>0</v>
      </c>
      <c r="D31" s="2">
        <v>4.1503166666666598</v>
      </c>
      <c r="E31" s="4">
        <f t="shared" si="1"/>
        <v>4.1503166666666598</v>
      </c>
      <c r="F31" t="s">
        <v>8</v>
      </c>
      <c r="G31">
        <v>3.4925333333333333</v>
      </c>
      <c r="H31">
        <v>0.6577833333333265</v>
      </c>
    </row>
    <row r="32" spans="1:8" x14ac:dyDescent="0.2">
      <c r="A32" s="1">
        <v>43313.666666666664</v>
      </c>
      <c r="B32">
        <v>1086</v>
      </c>
      <c r="C32" s="3">
        <v>0</v>
      </c>
      <c r="D32" s="2">
        <v>2.8077000000000001</v>
      </c>
      <c r="E32" s="4">
        <f t="shared" si="1"/>
        <v>2.8077000000000001</v>
      </c>
      <c r="F32" t="s">
        <v>8</v>
      </c>
      <c r="G32">
        <v>2.0173666666666601</v>
      </c>
      <c r="H32">
        <v>0.79033333333333999</v>
      </c>
    </row>
    <row r="33" spans="1:8" x14ac:dyDescent="0.2">
      <c r="A33" s="1">
        <v>43313.666666666664</v>
      </c>
      <c r="B33">
        <v>1202</v>
      </c>
      <c r="C33" s="3">
        <v>0</v>
      </c>
      <c r="D33" s="2">
        <v>3.5236166666666602</v>
      </c>
      <c r="E33" s="4">
        <f t="shared" si="1"/>
        <v>3.5236166666666602</v>
      </c>
      <c r="F33" t="s">
        <v>8</v>
      </c>
      <c r="G33">
        <v>1.2507833333333334</v>
      </c>
      <c r="H33">
        <v>2.2728333333333266</v>
      </c>
    </row>
    <row r="34" spans="1:8" x14ac:dyDescent="0.2">
      <c r="A34" s="1">
        <v>43313.666666666664</v>
      </c>
      <c r="B34">
        <v>1334</v>
      </c>
      <c r="C34" s="3">
        <v>0</v>
      </c>
      <c r="D34" s="2">
        <v>3.1618666666666599</v>
      </c>
      <c r="E34" s="4">
        <f t="shared" si="1"/>
        <v>3.1618666666666599</v>
      </c>
      <c r="F34" t="s">
        <v>8</v>
      </c>
      <c r="G34">
        <v>2.2440000000000002</v>
      </c>
      <c r="H34">
        <v>0.91786666666665973</v>
      </c>
    </row>
    <row r="35" spans="1:8" x14ac:dyDescent="0.2">
      <c r="A35" s="1">
        <v>43313.666666666664</v>
      </c>
      <c r="B35">
        <v>1500</v>
      </c>
      <c r="C35" s="3">
        <v>0</v>
      </c>
      <c r="D35" s="2">
        <v>1.5812666666666599</v>
      </c>
      <c r="E35" s="4">
        <f t="shared" si="1"/>
        <v>1.5812666666666599</v>
      </c>
      <c r="F35" t="s">
        <v>8</v>
      </c>
      <c r="G35">
        <v>0.92600000000000005</v>
      </c>
      <c r="H35">
        <v>0.65526666666665989</v>
      </c>
    </row>
    <row r="36" spans="1:8" x14ac:dyDescent="0.2">
      <c r="A36" s="1">
        <v>43313.666666666664</v>
      </c>
      <c r="B36">
        <v>1507</v>
      </c>
      <c r="C36" s="3">
        <v>0</v>
      </c>
      <c r="D36" s="2">
        <v>9.4987833333333302</v>
      </c>
      <c r="E36" s="4">
        <f t="shared" si="1"/>
        <v>9.4987833333333302</v>
      </c>
      <c r="F36" t="s">
        <v>8</v>
      </c>
      <c r="G36">
        <v>5.4201499999999996</v>
      </c>
      <c r="H36">
        <v>4.0786333333333307</v>
      </c>
    </row>
    <row r="37" spans="1:8" x14ac:dyDescent="0.2">
      <c r="A37" s="1">
        <v>43313.666666666664</v>
      </c>
      <c r="B37">
        <v>1796</v>
      </c>
      <c r="C37" s="3">
        <v>0</v>
      </c>
      <c r="D37" s="2">
        <v>0.1021</v>
      </c>
      <c r="E37" s="4">
        <f t="shared" si="1"/>
        <v>0.1021</v>
      </c>
      <c r="F37" t="s">
        <v>8</v>
      </c>
      <c r="G37" s="6">
        <v>1E-4</v>
      </c>
      <c r="H37">
        <v>0.1021</v>
      </c>
    </row>
    <row r="38" spans="1:8" x14ac:dyDescent="0.2">
      <c r="A38" s="1">
        <v>43313.666666666664</v>
      </c>
      <c r="B38">
        <v>2004</v>
      </c>
      <c r="C38" s="3">
        <v>0</v>
      </c>
      <c r="D38" s="2">
        <v>3.4600166666666601</v>
      </c>
      <c r="E38" s="4">
        <f t="shared" si="1"/>
        <v>3.4600166666666601</v>
      </c>
      <c r="F38" t="s">
        <v>8</v>
      </c>
      <c r="G38">
        <v>2.1569166666666635</v>
      </c>
      <c r="H38">
        <v>1.3030999999999966</v>
      </c>
    </row>
    <row r="39" spans="1:8" x14ac:dyDescent="0.2">
      <c r="A39" s="1">
        <v>43313.666666666664</v>
      </c>
      <c r="B39">
        <v>2034</v>
      </c>
      <c r="C39" s="3">
        <v>0</v>
      </c>
      <c r="D39" s="2">
        <v>2.6211333333333302</v>
      </c>
      <c r="E39" s="4">
        <f t="shared" si="1"/>
        <v>2.6211333333333302</v>
      </c>
      <c r="F39" t="s">
        <v>8</v>
      </c>
      <c r="G39">
        <v>1.2292499999999935</v>
      </c>
      <c r="H39">
        <v>1.3918833333333367</v>
      </c>
    </row>
    <row r="40" spans="1:8" x14ac:dyDescent="0.2">
      <c r="A40" s="1">
        <v>43313.666666666664</v>
      </c>
      <c r="B40">
        <v>2158</v>
      </c>
      <c r="C40" s="3">
        <v>0</v>
      </c>
      <c r="D40" s="2">
        <v>1.8629500000000001</v>
      </c>
      <c r="E40" s="4">
        <f t="shared" si="1"/>
        <v>1.8629500000000001</v>
      </c>
      <c r="F40" t="s">
        <v>8</v>
      </c>
      <c r="G40">
        <v>1.08913333333333</v>
      </c>
      <c r="H40">
        <v>0.77381666666667015</v>
      </c>
    </row>
    <row r="41" spans="1:8" x14ac:dyDescent="0.2">
      <c r="A41" s="1">
        <v>43313.666666666664</v>
      </c>
      <c r="B41">
        <v>2378</v>
      </c>
      <c r="C41" s="3">
        <v>0</v>
      </c>
      <c r="D41" s="2">
        <v>1.2737166666666599</v>
      </c>
      <c r="E41" s="4">
        <f t="shared" si="1"/>
        <v>1.2737166666666599</v>
      </c>
      <c r="F41" t="s">
        <v>8</v>
      </c>
      <c r="G41">
        <v>1.04666666666666E-2</v>
      </c>
      <c r="H41">
        <v>1.2632499999999933</v>
      </c>
    </row>
    <row r="42" spans="1:8" x14ac:dyDescent="0.2">
      <c r="A42" s="1">
        <v>43313.666666666664</v>
      </c>
      <c r="B42">
        <v>2472</v>
      </c>
      <c r="C42" s="3">
        <v>0</v>
      </c>
      <c r="D42" s="2">
        <v>2.4369666666666601</v>
      </c>
      <c r="E42" s="4">
        <f t="shared" si="1"/>
        <v>2.4369666666666601</v>
      </c>
      <c r="F42" t="s">
        <v>8</v>
      </c>
      <c r="G42">
        <v>1.8521666666666601</v>
      </c>
      <c r="H42">
        <v>0.58479999999999999</v>
      </c>
    </row>
    <row r="43" spans="1:8" x14ac:dyDescent="0.2">
      <c r="A43" s="1">
        <v>43313.666666666664</v>
      </c>
      <c r="B43">
        <v>2859</v>
      </c>
      <c r="C43" s="3">
        <v>0</v>
      </c>
      <c r="D43" s="2">
        <v>1.50633333333333</v>
      </c>
      <c r="E43" s="4">
        <f t="shared" si="1"/>
        <v>1.50633333333333</v>
      </c>
      <c r="F43" t="s">
        <v>8</v>
      </c>
      <c r="G43">
        <v>0.97955000000000003</v>
      </c>
      <c r="H43">
        <v>0.52678333333332994</v>
      </c>
    </row>
    <row r="44" spans="1:8" x14ac:dyDescent="0.2">
      <c r="A44" s="1">
        <v>43313.666666666664</v>
      </c>
      <c r="B44">
        <v>2953</v>
      </c>
      <c r="C44" s="3">
        <v>0</v>
      </c>
      <c r="D44" s="2">
        <v>1.6086166666666599</v>
      </c>
      <c r="E44" s="4">
        <f t="shared" si="1"/>
        <v>1.6086166666666599</v>
      </c>
      <c r="F44" t="s">
        <v>8</v>
      </c>
      <c r="G44">
        <v>1.16595</v>
      </c>
      <c r="H44">
        <v>0.44266666666665988</v>
      </c>
    </row>
    <row r="45" spans="1:8" x14ac:dyDescent="0.2">
      <c r="A45" s="1">
        <v>43313.666666666664</v>
      </c>
      <c r="B45">
        <v>3273</v>
      </c>
      <c r="C45" s="3">
        <v>0</v>
      </c>
      <c r="D45" s="2">
        <v>0.94273333333333298</v>
      </c>
      <c r="E45" s="4">
        <f t="shared" si="1"/>
        <v>0.94273333333333298</v>
      </c>
      <c r="F45" t="s">
        <v>8</v>
      </c>
      <c r="G45">
        <v>0.34311666666666601</v>
      </c>
      <c r="H45">
        <v>0.59961666666666691</v>
      </c>
    </row>
    <row r="46" spans="1:8" x14ac:dyDescent="0.2">
      <c r="A46" s="1">
        <v>43313.666666666664</v>
      </c>
      <c r="B46">
        <v>3401</v>
      </c>
      <c r="C46" s="3">
        <v>0</v>
      </c>
      <c r="D46" s="2">
        <v>3.94133333333333</v>
      </c>
      <c r="E46" s="4">
        <f t="shared" si="1"/>
        <v>3.94133333333333</v>
      </c>
      <c r="F46" t="s">
        <v>8</v>
      </c>
      <c r="G46">
        <v>0.12786666666666599</v>
      </c>
      <c r="H46">
        <v>3.8134666666666641</v>
      </c>
    </row>
    <row r="47" spans="1:8" x14ac:dyDescent="0.2">
      <c r="A47" s="1">
        <v>43313.666666666664</v>
      </c>
      <c r="B47">
        <v>3778</v>
      </c>
      <c r="C47" s="3">
        <v>0</v>
      </c>
      <c r="D47" s="2">
        <v>2.3900333333333301</v>
      </c>
      <c r="E47" s="4">
        <f t="shared" si="1"/>
        <v>2.3900333333333301</v>
      </c>
      <c r="F47" t="s">
        <v>8</v>
      </c>
      <c r="G47">
        <v>1.1151166666666601</v>
      </c>
      <c r="H47">
        <v>1.27491666666667</v>
      </c>
    </row>
    <row r="48" spans="1:8" x14ac:dyDescent="0.2">
      <c r="A48" s="1">
        <v>43313.666666666664</v>
      </c>
      <c r="B48">
        <v>3831</v>
      </c>
      <c r="C48" s="3">
        <v>0</v>
      </c>
      <c r="D48" s="2">
        <v>2.6916333333333302</v>
      </c>
      <c r="E48" s="4">
        <f t="shared" si="1"/>
        <v>2.6916333333333302</v>
      </c>
      <c r="F48" t="s">
        <v>8</v>
      </c>
      <c r="G48">
        <v>1.9936833333333299</v>
      </c>
      <c r="H48">
        <v>0.69795000000000029</v>
      </c>
    </row>
    <row r="49" spans="1:8" x14ac:dyDescent="0.2">
      <c r="A49" s="1">
        <v>43313.666666666664</v>
      </c>
      <c r="B49">
        <v>3893</v>
      </c>
      <c r="C49" s="3">
        <v>0</v>
      </c>
      <c r="D49" s="2">
        <v>3.0917666666666599</v>
      </c>
      <c r="E49" s="4">
        <f t="shared" si="1"/>
        <v>3.0917666666666599</v>
      </c>
      <c r="F49" t="s">
        <v>8</v>
      </c>
      <c r="G49">
        <v>1.2641166666666599</v>
      </c>
      <c r="H49">
        <v>1.82765</v>
      </c>
    </row>
    <row r="50" spans="1:8" x14ac:dyDescent="0.2">
      <c r="A50" s="1">
        <v>43313.666666666664</v>
      </c>
      <c r="B50">
        <v>4213</v>
      </c>
      <c r="C50" s="3">
        <v>0</v>
      </c>
      <c r="D50" s="2">
        <v>0.272683333333333</v>
      </c>
      <c r="E50" s="4">
        <f t="shared" si="1"/>
        <v>0.272683333333333</v>
      </c>
      <c r="F50" t="s">
        <v>8</v>
      </c>
      <c r="G50" s="6">
        <v>1E-4</v>
      </c>
      <c r="H50">
        <v>0.272683333333333</v>
      </c>
    </row>
    <row r="51" spans="1:8" x14ac:dyDescent="0.2">
      <c r="A51" s="1">
        <v>43313.666666666664</v>
      </c>
      <c r="B51">
        <v>4298</v>
      </c>
      <c r="C51" s="3">
        <v>0</v>
      </c>
      <c r="D51" s="2">
        <v>2.5042</v>
      </c>
      <c r="E51" s="4">
        <f t="shared" si="1"/>
        <v>2.5042</v>
      </c>
      <c r="F51" t="s">
        <v>8</v>
      </c>
      <c r="G51">
        <v>1.91461666666666</v>
      </c>
      <c r="H51">
        <v>0.58958333333334001</v>
      </c>
    </row>
    <row r="52" spans="1:8" x14ac:dyDescent="0.2">
      <c r="A52" s="1">
        <v>43313.666666666664</v>
      </c>
      <c r="B52">
        <v>370</v>
      </c>
      <c r="C52" s="3" t="e">
        <f t="array" ref="C52">VLOOKUP(A52&amp;B52,IF({1,0},#REF!&amp;#REF!,#REF!),2,FALSE)</f>
        <v>#N/A</v>
      </c>
      <c r="D52" s="3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2.3369499999999999</v>
      </c>
      <c r="H52">
        <v>1.3843000000000001</v>
      </c>
    </row>
    <row r="53" spans="1:8" x14ac:dyDescent="0.2">
      <c r="A53" s="1">
        <v>43313.666666666664</v>
      </c>
      <c r="B53">
        <v>2638</v>
      </c>
      <c r="C53" s="3" t="e">
        <f t="array" ref="C53">VLOOKUP(A53&amp;B53,IF({1,0},#REF!&amp;#REF!,#REF!),2,FALSE)</f>
        <v>#N/A</v>
      </c>
      <c r="D53" s="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4.8266499999999901</v>
      </c>
      <c r="H53">
        <v>1.0665500000000101</v>
      </c>
    </row>
    <row r="54" spans="1:8" x14ac:dyDescent="0.2">
      <c r="A54" s="1">
        <v>43313.666666666664</v>
      </c>
      <c r="B54">
        <v>3482</v>
      </c>
      <c r="C54" s="3" t="e">
        <f t="array" ref="C54">VLOOKUP(A54&amp;B54,IF({1,0},#REF!&amp;#REF!,#REF!),2,FALSE)</f>
        <v>#N/A</v>
      </c>
      <c r="D54" s="3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0.7250833333333333</v>
      </c>
      <c r="H54">
        <v>0.6044833333333266</v>
      </c>
    </row>
    <row r="55" spans="1:8" x14ac:dyDescent="0.2">
      <c r="A55" s="1">
        <v>43313.666666666664</v>
      </c>
      <c r="B55">
        <v>3723</v>
      </c>
      <c r="C55" s="3" t="e">
        <f t="array" ref="C55">VLOOKUP(A55&amp;B55,IF({1,0},#REF!&amp;#REF!,#REF!),2,FALSE)</f>
        <v>#N/A</v>
      </c>
      <c r="D55" s="3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4.2082833333333287</v>
      </c>
      <c r="H55">
        <v>1.1031500000000012</v>
      </c>
    </row>
    <row r="56" spans="1:8" x14ac:dyDescent="0.2">
      <c r="A56" s="1">
        <v>43313.666666666664</v>
      </c>
      <c r="B56">
        <v>3967</v>
      </c>
      <c r="C56" s="3" t="e">
        <f t="array" ref="C56">VLOOKUP(A56&amp;B56,IF({1,0},#REF!&amp;#REF!,#REF!),2,FALSE)</f>
        <v>#N/A</v>
      </c>
      <c r="D56" s="3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3.1773666666666602</v>
      </c>
      <c r="H56">
        <v>1.2516166666666702</v>
      </c>
    </row>
    <row r="57" spans="1:8" x14ac:dyDescent="0.2">
      <c r="A57" s="1">
        <v>43313.666666666664</v>
      </c>
      <c r="B57">
        <v>4998</v>
      </c>
      <c r="C57" s="3" t="e">
        <f t="array" ref="C57">VLOOKUP(A57&amp;B57,IF({1,0},#REF!&amp;#REF!,#REF!),2,FALSE)</f>
        <v>#N/A</v>
      </c>
      <c r="D57" s="3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5.3069333333333297</v>
      </c>
      <c r="H57">
        <v>1.05636666666667</v>
      </c>
    </row>
    <row r="58" spans="1:8" x14ac:dyDescent="0.2">
      <c r="A58" s="1">
        <v>43313.666666666664</v>
      </c>
      <c r="B58">
        <v>5749</v>
      </c>
      <c r="C58" s="3" t="e">
        <f t="array" ref="C58">VLOOKUP(A58&amp;B58,IF({1,0},#REF!&amp;#REF!,#REF!),2,FALSE)</f>
        <v>#N/A</v>
      </c>
      <c r="D58" s="3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4.8380499999999902</v>
      </c>
      <c r="H58">
        <v>1.9261833333333396</v>
      </c>
    </row>
    <row r="59" spans="1:8" x14ac:dyDescent="0.2">
      <c r="A59" s="1">
        <v>43313.666666666664</v>
      </c>
      <c r="B59">
        <v>6248</v>
      </c>
      <c r="C59" s="3" t="e">
        <f t="array" ref="C59">VLOOKUP(A59&amp;B59,IF({1,0},#REF!&amp;#REF!,#REF!),2,FALSE)</f>
        <v>#N/A</v>
      </c>
      <c r="D59" s="3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2.9955499999999931</v>
      </c>
      <c r="H59">
        <v>1.4537333333333371</v>
      </c>
    </row>
    <row r="60" spans="1:8" x14ac:dyDescent="0.2">
      <c r="A60" s="1">
        <v>43313.666666666664</v>
      </c>
      <c r="B60">
        <v>6691</v>
      </c>
      <c r="C60" s="3" t="e">
        <f t="array" ref="C60">VLOOKUP(A60&amp;B60,IF({1,0},#REF!&amp;#REF!,#REF!),2,FALSE)</f>
        <v>#N/A</v>
      </c>
      <c r="D60" s="3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3.4752999999999932</v>
      </c>
      <c r="H60">
        <v>3.0240333333333367</v>
      </c>
    </row>
    <row r="61" spans="1:8" x14ac:dyDescent="0.2">
      <c r="A61" s="1">
        <v>43313.666666666664</v>
      </c>
      <c r="B61">
        <v>7024</v>
      </c>
      <c r="C61" s="3" t="e">
        <f t="array" ref="C61">VLOOKUP(A61&amp;B61,IF({1,0},#REF!&amp;#REF!,#REF!),2,FALSE)</f>
        <v>#N/A</v>
      </c>
      <c r="D61" s="3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1.4917166666666599</v>
      </c>
      <c r="H61">
        <v>0.75248333333334028</v>
      </c>
    </row>
    <row r="62" spans="1:8" x14ac:dyDescent="0.2">
      <c r="A62" s="1">
        <v>43313.666666666664</v>
      </c>
      <c r="B62">
        <v>7875</v>
      </c>
      <c r="C62" s="3" t="e">
        <f t="array" ref="C62">VLOOKUP(A62&amp;B62,IF({1,0},#REF!&amp;#REF!,#REF!),2,FALSE)</f>
        <v>#N/A</v>
      </c>
      <c r="D62" s="3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1.58735</v>
      </c>
      <c r="H62">
        <v>0.50743333333332985</v>
      </c>
    </row>
    <row r="63" spans="1:8" x14ac:dyDescent="0.2">
      <c r="A63" s="1">
        <v>43313.666666666664</v>
      </c>
      <c r="B63">
        <v>8236</v>
      </c>
      <c r="C63" s="3" t="e">
        <f t="array" ref="C63">VLOOKUP(A63&amp;B63,IF({1,0},#REF!&amp;#REF!,#REF!),2,FALSE)</f>
        <v>#N/A</v>
      </c>
      <c r="D63" s="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1.4741333333333335</v>
      </c>
      <c r="H63">
        <v>0.51898333333332647</v>
      </c>
    </row>
    <row r="64" spans="1:8" x14ac:dyDescent="0.2">
      <c r="A64" s="1">
        <v>43313.666666666664</v>
      </c>
      <c r="B64">
        <v>8645</v>
      </c>
      <c r="C64" s="3" t="e">
        <f t="array" ref="C64">VLOOKUP(A64&amp;B64,IF({1,0},#REF!&amp;#REF!,#REF!),2,FALSE)</f>
        <v>#N/A</v>
      </c>
      <c r="D64" s="3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1.1372203389830491</v>
      </c>
      <c r="H64">
        <v>0.19233898305084085</v>
      </c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EE7F1-70CE-D042-839A-003BAB674A29}">
  <dimension ref="A1:H17111"/>
  <sheetViews>
    <sheetView topLeftCell="A33" zoomScale="173" workbookViewId="0">
      <selection activeCell="G50" sqref="G50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43313.708333333336</v>
      </c>
      <c r="B2">
        <v>252</v>
      </c>
      <c r="C2" s="3">
        <v>2.3008500000000001</v>
      </c>
      <c r="D2" s="2">
        <v>6.1337333333333302</v>
      </c>
      <c r="E2" s="4">
        <f>D2-C2</f>
        <v>3.8328833333333301</v>
      </c>
      <c r="F2" t="s">
        <v>6</v>
      </c>
      <c r="G2" s="6">
        <v>1E-4</v>
      </c>
      <c r="H2">
        <v>6.1337333333333302</v>
      </c>
    </row>
    <row r="3" spans="1:8" x14ac:dyDescent="0.2">
      <c r="A3" s="1">
        <v>43313.708333333336</v>
      </c>
      <c r="B3">
        <v>379</v>
      </c>
      <c r="C3" s="3">
        <v>1.27596666666666</v>
      </c>
      <c r="D3" s="2">
        <v>4.8513666666666602</v>
      </c>
      <c r="E3" s="4">
        <f t="shared" ref="E3:E21" si="0">D3-C3</f>
        <v>3.5754000000000001</v>
      </c>
      <c r="F3" t="s">
        <v>6</v>
      </c>
      <c r="G3">
        <v>3.5203499999999899</v>
      </c>
      <c r="H3">
        <v>1.3310166666666703</v>
      </c>
    </row>
    <row r="4" spans="1:8" x14ac:dyDescent="0.2">
      <c r="A4" s="1">
        <v>43313.708333333336</v>
      </c>
      <c r="B4">
        <v>434</v>
      </c>
      <c r="C4" s="3">
        <v>3.6087333333333298</v>
      </c>
      <c r="D4" s="2">
        <v>6.1553333333333304</v>
      </c>
      <c r="E4" s="4">
        <f t="shared" si="0"/>
        <v>2.5466000000000006</v>
      </c>
      <c r="F4" t="s">
        <v>6</v>
      </c>
      <c r="G4">
        <v>4.9872833333333304</v>
      </c>
      <c r="H4">
        <v>1.16805</v>
      </c>
    </row>
    <row r="5" spans="1:8" x14ac:dyDescent="0.2">
      <c r="A5" s="1">
        <v>43313.708333333336</v>
      </c>
      <c r="B5">
        <v>1718</v>
      </c>
      <c r="C5" s="3">
        <v>2.7589666666666601</v>
      </c>
      <c r="D5" s="2">
        <v>5.6392166666666599</v>
      </c>
      <c r="E5" s="4">
        <f t="shared" si="0"/>
        <v>2.8802499999999998</v>
      </c>
      <c r="F5" t="s">
        <v>6</v>
      </c>
      <c r="G5" s="6">
        <v>1E-4</v>
      </c>
      <c r="H5">
        <v>5.6392166666666599</v>
      </c>
    </row>
    <row r="6" spans="1:8" x14ac:dyDescent="0.2">
      <c r="A6" s="1">
        <v>43313.708333333336</v>
      </c>
      <c r="B6">
        <v>1792</v>
      </c>
      <c r="C6" s="3">
        <v>2.4558166666666601</v>
      </c>
      <c r="D6" s="2">
        <v>4.2505499999999996</v>
      </c>
      <c r="E6" s="4">
        <f t="shared" si="0"/>
        <v>1.7947333333333395</v>
      </c>
      <c r="F6" t="s">
        <v>6</v>
      </c>
      <c r="G6" s="6">
        <v>1E-4</v>
      </c>
      <c r="H6">
        <v>4.2505499999999996</v>
      </c>
    </row>
    <row r="7" spans="1:8" x14ac:dyDescent="0.2">
      <c r="A7" s="1">
        <v>43313.708333333336</v>
      </c>
      <c r="B7">
        <v>2925</v>
      </c>
      <c r="C7" s="3">
        <v>1.9436</v>
      </c>
      <c r="D7" s="2">
        <v>4.6984545454545401</v>
      </c>
      <c r="E7" s="4">
        <f t="shared" si="0"/>
        <v>2.7548545454545401</v>
      </c>
      <c r="F7" t="s">
        <v>6</v>
      </c>
      <c r="G7" s="6">
        <v>1E-4</v>
      </c>
      <c r="H7">
        <v>4.6984545454545401</v>
      </c>
    </row>
    <row r="8" spans="1:8" x14ac:dyDescent="0.2">
      <c r="A8" s="1">
        <v>43313.708333333336</v>
      </c>
      <c r="B8">
        <v>3649</v>
      </c>
      <c r="C8" s="3">
        <v>1.62635</v>
      </c>
      <c r="D8" s="2">
        <v>7.7047499999999998</v>
      </c>
      <c r="E8" s="4">
        <f t="shared" si="0"/>
        <v>6.0784000000000002</v>
      </c>
      <c r="F8" t="s">
        <v>6</v>
      </c>
      <c r="G8">
        <v>3.6983000000000001</v>
      </c>
      <c r="H8">
        <v>4.0064499999999992</v>
      </c>
    </row>
    <row r="9" spans="1:8" x14ac:dyDescent="0.2">
      <c r="A9" s="1">
        <v>43313.708333333336</v>
      </c>
      <c r="B9">
        <v>4357</v>
      </c>
      <c r="C9" s="3">
        <v>1.14658333333333</v>
      </c>
      <c r="D9" s="2">
        <v>2.21271666666666</v>
      </c>
      <c r="E9" s="4">
        <f t="shared" si="0"/>
        <v>1.06613333333333</v>
      </c>
      <c r="F9" t="s">
        <v>6</v>
      </c>
      <c r="G9">
        <v>1.2784166666666601</v>
      </c>
      <c r="H9">
        <v>0.93429999999999991</v>
      </c>
    </row>
    <row r="10" spans="1:8" x14ac:dyDescent="0.2">
      <c r="A10" s="1">
        <v>43313.708333333336</v>
      </c>
      <c r="B10">
        <v>4874</v>
      </c>
      <c r="C10" s="3">
        <v>0.77596666666666603</v>
      </c>
      <c r="D10" s="2">
        <v>5.0926</v>
      </c>
      <c r="E10" s="4">
        <f t="shared" si="0"/>
        <v>4.3166333333333338</v>
      </c>
      <c r="F10" t="s">
        <v>6</v>
      </c>
      <c r="G10">
        <v>2.8872333333333264</v>
      </c>
      <c r="H10">
        <v>2.2053666666666736</v>
      </c>
    </row>
    <row r="11" spans="1:8" x14ac:dyDescent="0.2">
      <c r="A11" s="1">
        <v>43313.708333333336</v>
      </c>
      <c r="B11">
        <v>5035</v>
      </c>
      <c r="C11" s="3">
        <v>1.32355</v>
      </c>
      <c r="D11" s="2">
        <v>3.6835</v>
      </c>
      <c r="E11" s="4">
        <f t="shared" si="0"/>
        <v>2.35995</v>
      </c>
      <c r="F11" t="s">
        <v>6</v>
      </c>
      <c r="G11" s="6">
        <v>1E-4</v>
      </c>
      <c r="H11">
        <v>3.6835</v>
      </c>
    </row>
    <row r="12" spans="1:8" x14ac:dyDescent="0.2">
      <c r="A12" s="1">
        <v>43313.708333333336</v>
      </c>
      <c r="B12">
        <v>93</v>
      </c>
      <c r="C12" s="3">
        <v>1.3873500000000001</v>
      </c>
      <c r="D12" s="2">
        <v>1.3163499999999999</v>
      </c>
      <c r="E12" s="4">
        <f t="shared" si="0"/>
        <v>-7.1000000000000174E-2</v>
      </c>
      <c r="F12" t="s">
        <v>7</v>
      </c>
      <c r="G12">
        <v>0.75049999999999939</v>
      </c>
      <c r="H12">
        <v>0.56585000000000052</v>
      </c>
    </row>
    <row r="13" spans="1:8" x14ac:dyDescent="0.2">
      <c r="A13" s="1">
        <v>43313.708333333336</v>
      </c>
      <c r="B13">
        <v>171</v>
      </c>
      <c r="C13" s="3">
        <v>3.6041500000000002</v>
      </c>
      <c r="D13" s="2">
        <v>2.68658333333333</v>
      </c>
      <c r="E13" s="4">
        <f t="shared" si="0"/>
        <v>-0.91756666666667019</v>
      </c>
      <c r="F13" t="s">
        <v>7</v>
      </c>
      <c r="G13" s="6">
        <v>1E-4</v>
      </c>
      <c r="H13">
        <v>2.68658333333333</v>
      </c>
    </row>
    <row r="14" spans="1:8" x14ac:dyDescent="0.2">
      <c r="A14" s="1">
        <v>43313.708333333336</v>
      </c>
      <c r="B14">
        <v>668</v>
      </c>
      <c r="C14" s="3">
        <v>2.89178333333333</v>
      </c>
      <c r="D14" s="2">
        <v>4.3761000000000001</v>
      </c>
      <c r="E14" s="4">
        <f t="shared" si="0"/>
        <v>1.4843166666666701</v>
      </c>
      <c r="F14" t="s">
        <v>7</v>
      </c>
      <c r="G14">
        <v>2.8228166666666601</v>
      </c>
      <c r="H14">
        <v>1.55328333333334</v>
      </c>
    </row>
    <row r="15" spans="1:8" x14ac:dyDescent="0.2">
      <c r="A15" s="1">
        <v>43313.708333333336</v>
      </c>
      <c r="B15">
        <v>781</v>
      </c>
      <c r="C15" s="3">
        <v>2.6042999999999998</v>
      </c>
      <c r="D15" s="2">
        <v>1.8890499999999999</v>
      </c>
      <c r="E15" s="4">
        <f t="shared" si="0"/>
        <v>-0.71524999999999994</v>
      </c>
      <c r="F15" t="s">
        <v>7</v>
      </c>
      <c r="G15">
        <v>1.3819666666666599</v>
      </c>
      <c r="H15">
        <v>0.50708333333333999</v>
      </c>
    </row>
    <row r="16" spans="1:8" x14ac:dyDescent="0.2">
      <c r="A16" s="1">
        <v>43313.708333333336</v>
      </c>
      <c r="B16">
        <v>974</v>
      </c>
      <c r="C16" s="3">
        <v>2.79941666666666</v>
      </c>
      <c r="D16" s="2">
        <v>3.92933333333333</v>
      </c>
      <c r="E16" s="4">
        <f t="shared" si="0"/>
        <v>1.12991666666667</v>
      </c>
      <c r="F16" t="s">
        <v>7</v>
      </c>
      <c r="G16">
        <v>2.3418999999999928</v>
      </c>
      <c r="H16">
        <v>1.5874333333333372</v>
      </c>
    </row>
    <row r="17" spans="1:8" x14ac:dyDescent="0.2">
      <c r="A17" s="1">
        <v>43313.708333333336</v>
      </c>
      <c r="B17">
        <v>1192</v>
      </c>
      <c r="C17" s="3">
        <v>2.8388166666666601</v>
      </c>
      <c r="D17" s="2">
        <v>3.6765666666666599</v>
      </c>
      <c r="E17" s="4">
        <f t="shared" si="0"/>
        <v>0.83774999999999977</v>
      </c>
      <c r="F17" t="s">
        <v>7</v>
      </c>
      <c r="G17">
        <v>2.8523333333333332</v>
      </c>
      <c r="H17">
        <v>0.82423333333332671</v>
      </c>
    </row>
    <row r="18" spans="1:8" x14ac:dyDescent="0.2">
      <c r="A18" s="1">
        <v>43313.708333333336</v>
      </c>
      <c r="B18">
        <v>1354</v>
      </c>
      <c r="C18" s="3">
        <v>1.98016666666666</v>
      </c>
      <c r="D18" s="2">
        <v>3.4813666666666601</v>
      </c>
      <c r="E18" s="4">
        <f t="shared" si="0"/>
        <v>1.5012000000000001</v>
      </c>
      <c r="F18" t="s">
        <v>7</v>
      </c>
      <c r="G18">
        <v>2.6828166666666631</v>
      </c>
      <c r="H18">
        <v>0.79854999999999698</v>
      </c>
    </row>
    <row r="19" spans="1:8" x14ac:dyDescent="0.2">
      <c r="A19" s="1">
        <v>43313.708333333336</v>
      </c>
      <c r="B19">
        <v>1714</v>
      </c>
      <c r="C19" s="3">
        <v>0.36246666666666599</v>
      </c>
      <c r="D19" s="2">
        <v>2.6396999999999999</v>
      </c>
      <c r="E19" s="4">
        <f t="shared" si="0"/>
        <v>2.2772333333333341</v>
      </c>
      <c r="F19" t="s">
        <v>7</v>
      </c>
      <c r="G19">
        <v>1.74515</v>
      </c>
      <c r="H19">
        <v>0.89454999999999996</v>
      </c>
    </row>
    <row r="20" spans="1:8" x14ac:dyDescent="0.2">
      <c r="A20" s="1">
        <v>43313.708333333336</v>
      </c>
      <c r="B20">
        <v>1800</v>
      </c>
      <c r="C20" s="3">
        <v>4.15058333333333</v>
      </c>
      <c r="D20" s="2">
        <v>1.3944333333333301</v>
      </c>
      <c r="E20" s="4">
        <f t="shared" si="0"/>
        <v>-2.7561499999999999</v>
      </c>
      <c r="F20" t="s">
        <v>7</v>
      </c>
      <c r="G20">
        <v>0.60291666666666599</v>
      </c>
      <c r="H20">
        <v>0.79151666666666409</v>
      </c>
    </row>
    <row r="21" spans="1:8" x14ac:dyDescent="0.2">
      <c r="A21" s="1">
        <v>43313.708333333336</v>
      </c>
      <c r="B21">
        <v>2129</v>
      </c>
      <c r="C21" s="3">
        <v>2.4864166666666598</v>
      </c>
      <c r="D21" s="2">
        <v>2.96363333333333</v>
      </c>
      <c r="E21" s="4">
        <f t="shared" si="0"/>
        <v>0.47721666666667018</v>
      </c>
      <c r="F21" t="s">
        <v>7</v>
      </c>
      <c r="G21">
        <v>1.9002666666666601</v>
      </c>
      <c r="H21">
        <v>1.0633666666666699</v>
      </c>
    </row>
    <row r="22" spans="1:8" x14ac:dyDescent="0.2">
      <c r="A22" s="1">
        <v>43313.708333333336</v>
      </c>
      <c r="B22">
        <v>59</v>
      </c>
      <c r="C22" s="3">
        <v>0</v>
      </c>
      <c r="D22" s="2">
        <v>3.4718</v>
      </c>
      <c r="E22" s="4">
        <f t="shared" ref="E22:E64" si="1">D22-C22</f>
        <v>3.4718</v>
      </c>
      <c r="F22" t="s">
        <v>8</v>
      </c>
      <c r="G22">
        <v>2.1753499999999999</v>
      </c>
      <c r="H22">
        <v>1.2964500000000001</v>
      </c>
    </row>
    <row r="23" spans="1:8" x14ac:dyDescent="0.2">
      <c r="A23" s="1">
        <v>43313.708333333336</v>
      </c>
      <c r="B23">
        <v>86</v>
      </c>
      <c r="C23" s="3">
        <v>0</v>
      </c>
      <c r="D23" s="2">
        <v>5.3230000000000004</v>
      </c>
      <c r="E23" s="4">
        <f t="shared" si="1"/>
        <v>5.3230000000000004</v>
      </c>
      <c r="F23" t="s">
        <v>8</v>
      </c>
      <c r="G23">
        <v>2.7152333333333267</v>
      </c>
      <c r="H23">
        <v>2.6077666666666737</v>
      </c>
    </row>
    <row r="24" spans="1:8" x14ac:dyDescent="0.2">
      <c r="A24" s="1">
        <v>43313.708333333336</v>
      </c>
      <c r="B24">
        <v>94</v>
      </c>
      <c r="C24" s="3">
        <v>0</v>
      </c>
      <c r="D24" s="2">
        <v>1.37988333333333</v>
      </c>
      <c r="E24" s="4">
        <f t="shared" si="1"/>
        <v>1.37988333333333</v>
      </c>
      <c r="F24" t="s">
        <v>8</v>
      </c>
      <c r="G24">
        <v>0.43235000000000001</v>
      </c>
      <c r="H24">
        <v>0.94753333333333001</v>
      </c>
    </row>
    <row r="25" spans="1:8" x14ac:dyDescent="0.2">
      <c r="A25" s="1">
        <v>43313.708333333336</v>
      </c>
      <c r="B25">
        <v>115</v>
      </c>
      <c r="C25" s="3">
        <v>0</v>
      </c>
      <c r="D25" s="2">
        <v>2.3734500000000001</v>
      </c>
      <c r="E25" s="4">
        <f t="shared" si="1"/>
        <v>2.3734500000000001</v>
      </c>
      <c r="F25" t="s">
        <v>8</v>
      </c>
      <c r="G25">
        <v>1.23525</v>
      </c>
      <c r="H25">
        <v>1.1382000000000001</v>
      </c>
    </row>
    <row r="26" spans="1:8" x14ac:dyDescent="0.2">
      <c r="A26" s="1">
        <v>43313.708333333336</v>
      </c>
      <c r="B26">
        <v>503</v>
      </c>
      <c r="C26" s="3">
        <v>0</v>
      </c>
      <c r="D26" s="2">
        <v>5.2389999999999999</v>
      </c>
      <c r="E26" s="4">
        <f t="shared" si="1"/>
        <v>5.2389999999999999</v>
      </c>
      <c r="F26" t="s">
        <v>8</v>
      </c>
      <c r="G26">
        <v>4.1444499999999929</v>
      </c>
      <c r="H26">
        <v>1.094550000000007</v>
      </c>
    </row>
    <row r="27" spans="1:8" x14ac:dyDescent="0.2">
      <c r="A27" s="1">
        <v>43313.708333333336</v>
      </c>
      <c r="B27">
        <v>621</v>
      </c>
      <c r="C27" s="3">
        <v>0</v>
      </c>
      <c r="D27" s="2">
        <v>1.2481833333333301</v>
      </c>
      <c r="E27" s="4">
        <f t="shared" si="1"/>
        <v>1.2481833333333301</v>
      </c>
      <c r="F27" t="s">
        <v>8</v>
      </c>
      <c r="G27">
        <v>0.51886666666666603</v>
      </c>
      <c r="H27">
        <v>0.72931666666666406</v>
      </c>
    </row>
    <row r="28" spans="1:8" x14ac:dyDescent="0.2">
      <c r="A28" s="1">
        <v>43313.708333333336</v>
      </c>
      <c r="B28">
        <v>871</v>
      </c>
      <c r="C28" s="3">
        <v>0</v>
      </c>
      <c r="D28" s="2">
        <v>1.694</v>
      </c>
      <c r="E28" s="4">
        <f t="shared" si="1"/>
        <v>1.694</v>
      </c>
      <c r="F28" t="s">
        <v>8</v>
      </c>
      <c r="G28">
        <v>1.1007499999999999</v>
      </c>
      <c r="H28">
        <v>0.59325000000000006</v>
      </c>
    </row>
    <row r="29" spans="1:8" x14ac:dyDescent="0.2">
      <c r="A29" s="1">
        <v>43313.708333333336</v>
      </c>
      <c r="B29">
        <v>930</v>
      </c>
      <c r="C29" s="3">
        <v>0</v>
      </c>
      <c r="D29" s="2">
        <v>4.7187166666666602</v>
      </c>
      <c r="E29" s="4">
        <f t="shared" si="1"/>
        <v>4.7187166666666602</v>
      </c>
      <c r="F29" t="s">
        <v>8</v>
      </c>
      <c r="G29">
        <v>2.6572</v>
      </c>
      <c r="H29">
        <v>2.0615166666666602</v>
      </c>
    </row>
    <row r="30" spans="1:8" x14ac:dyDescent="0.2">
      <c r="A30" s="1">
        <v>43313.708333333336</v>
      </c>
      <c r="B30">
        <v>946</v>
      </c>
      <c r="C30" s="3">
        <v>0</v>
      </c>
      <c r="D30" s="2">
        <v>3.1064500000000002</v>
      </c>
      <c r="E30" s="4">
        <f t="shared" si="1"/>
        <v>3.1064500000000002</v>
      </c>
      <c r="F30" t="s">
        <v>8</v>
      </c>
      <c r="G30">
        <v>2.3887999999999958</v>
      </c>
      <c r="H30">
        <v>0.71765000000000434</v>
      </c>
    </row>
    <row r="31" spans="1:8" x14ac:dyDescent="0.2">
      <c r="A31" s="1">
        <v>43313.708333333336</v>
      </c>
      <c r="B31">
        <v>994</v>
      </c>
      <c r="C31" s="3">
        <v>0</v>
      </c>
      <c r="D31" s="2">
        <v>2.8960833333333298</v>
      </c>
      <c r="E31" s="4">
        <f t="shared" si="1"/>
        <v>2.8960833333333298</v>
      </c>
      <c r="F31" t="s">
        <v>8</v>
      </c>
      <c r="G31">
        <v>2.3296999999999932</v>
      </c>
      <c r="H31">
        <v>0.56638333333333657</v>
      </c>
    </row>
    <row r="32" spans="1:8" x14ac:dyDescent="0.2">
      <c r="A32" s="1">
        <v>43313.708333333336</v>
      </c>
      <c r="B32">
        <v>1086</v>
      </c>
      <c r="C32" s="3">
        <v>0</v>
      </c>
      <c r="D32" s="2">
        <v>1.77701666666666</v>
      </c>
      <c r="E32" s="4">
        <f t="shared" si="1"/>
        <v>1.77701666666666</v>
      </c>
      <c r="F32" t="s">
        <v>8</v>
      </c>
      <c r="G32">
        <v>1.1035499999999967</v>
      </c>
      <c r="H32">
        <v>0.67346666666666333</v>
      </c>
    </row>
    <row r="33" spans="1:8" x14ac:dyDescent="0.2">
      <c r="A33" s="1">
        <v>43313.708333333336</v>
      </c>
      <c r="B33">
        <v>1202</v>
      </c>
      <c r="C33" s="3">
        <v>0</v>
      </c>
      <c r="D33" s="2">
        <v>7.7613666666666603</v>
      </c>
      <c r="E33" s="4">
        <f t="shared" si="1"/>
        <v>7.7613666666666603</v>
      </c>
      <c r="F33" t="s">
        <v>8</v>
      </c>
      <c r="G33">
        <v>4.0180666666666562</v>
      </c>
      <c r="H33">
        <v>3.7433000000000041</v>
      </c>
    </row>
    <row r="34" spans="1:8" x14ac:dyDescent="0.2">
      <c r="A34" s="1">
        <v>43313.708333333336</v>
      </c>
      <c r="B34">
        <v>1334</v>
      </c>
      <c r="C34" s="3">
        <v>0</v>
      </c>
      <c r="D34" s="2">
        <v>2.66293333333333</v>
      </c>
      <c r="E34" s="4">
        <f t="shared" si="1"/>
        <v>2.66293333333333</v>
      </c>
      <c r="F34" t="s">
        <v>8</v>
      </c>
      <c r="G34">
        <v>1.6327</v>
      </c>
      <c r="H34">
        <v>1.03023333333333</v>
      </c>
    </row>
    <row r="35" spans="1:8" x14ac:dyDescent="0.2">
      <c r="A35" s="1">
        <v>43313.708333333336</v>
      </c>
      <c r="B35">
        <v>1500</v>
      </c>
      <c r="C35" s="3">
        <v>0</v>
      </c>
      <c r="D35" s="2">
        <v>1.56921666666666</v>
      </c>
      <c r="E35" s="4">
        <f t="shared" si="1"/>
        <v>1.56921666666666</v>
      </c>
      <c r="F35" t="s">
        <v>8</v>
      </c>
      <c r="G35">
        <v>0.98471666666666602</v>
      </c>
      <c r="H35">
        <v>0.58449999999999402</v>
      </c>
    </row>
    <row r="36" spans="1:8" x14ac:dyDescent="0.2">
      <c r="A36" s="1">
        <v>43313.708333333336</v>
      </c>
      <c r="B36">
        <v>1507</v>
      </c>
      <c r="C36" s="3">
        <v>0</v>
      </c>
      <c r="D36" s="2">
        <v>9.7021833333333305</v>
      </c>
      <c r="E36" s="4">
        <f t="shared" si="1"/>
        <v>9.7021833333333305</v>
      </c>
      <c r="F36" t="s">
        <v>8</v>
      </c>
      <c r="G36">
        <v>5.3641166666666669</v>
      </c>
      <c r="H36">
        <v>4.3380666666666636</v>
      </c>
    </row>
    <row r="37" spans="1:8" x14ac:dyDescent="0.2">
      <c r="A37" s="1">
        <v>43313.708333333336</v>
      </c>
      <c r="B37">
        <v>1796</v>
      </c>
      <c r="C37" s="3">
        <v>0</v>
      </c>
      <c r="D37" s="2">
        <v>1.3758333333333299</v>
      </c>
      <c r="E37" s="4">
        <f t="shared" si="1"/>
        <v>1.3758333333333299</v>
      </c>
      <c r="F37" t="s">
        <v>8</v>
      </c>
      <c r="G37">
        <v>1.0451666666666599</v>
      </c>
      <c r="H37">
        <v>0.33066666666666999</v>
      </c>
    </row>
    <row r="38" spans="1:8" x14ac:dyDescent="0.2">
      <c r="A38" s="1">
        <v>43313.708333333336</v>
      </c>
      <c r="B38">
        <v>2004</v>
      </c>
      <c r="C38" s="3">
        <v>0</v>
      </c>
      <c r="D38" s="2">
        <v>3.6343000000000001</v>
      </c>
      <c r="E38" s="4">
        <f t="shared" si="1"/>
        <v>3.6343000000000001</v>
      </c>
      <c r="F38" t="s">
        <v>8</v>
      </c>
      <c r="G38">
        <v>2.1877166666666668</v>
      </c>
      <c r="H38">
        <v>1.4465833333333333</v>
      </c>
    </row>
    <row r="39" spans="1:8" x14ac:dyDescent="0.2">
      <c r="A39" s="1">
        <v>43313.708333333336</v>
      </c>
      <c r="B39">
        <v>2034</v>
      </c>
      <c r="C39" s="3">
        <v>0</v>
      </c>
      <c r="D39" s="2">
        <v>3.3405999999999998</v>
      </c>
      <c r="E39" s="4">
        <f t="shared" si="1"/>
        <v>3.3405999999999998</v>
      </c>
      <c r="F39" t="s">
        <v>8</v>
      </c>
      <c r="G39">
        <v>1.0980166666666635</v>
      </c>
      <c r="H39">
        <v>2.2425833333333363</v>
      </c>
    </row>
    <row r="40" spans="1:8" x14ac:dyDescent="0.2">
      <c r="A40" s="1">
        <v>43313.708333333336</v>
      </c>
      <c r="B40">
        <v>2158</v>
      </c>
      <c r="C40" s="3">
        <v>0</v>
      </c>
      <c r="D40" s="2">
        <v>3.9637666666666602</v>
      </c>
      <c r="E40" s="4">
        <f t="shared" si="1"/>
        <v>3.9637666666666602</v>
      </c>
      <c r="F40" t="s">
        <v>8</v>
      </c>
      <c r="G40">
        <v>2.86358333333333</v>
      </c>
      <c r="H40">
        <v>1.1001833333333302</v>
      </c>
    </row>
    <row r="41" spans="1:8" x14ac:dyDescent="0.2">
      <c r="A41" s="1">
        <v>43313.708333333336</v>
      </c>
      <c r="B41">
        <v>2378</v>
      </c>
      <c r="C41" s="3">
        <v>0</v>
      </c>
      <c r="D41" s="2">
        <v>0.32833333333333298</v>
      </c>
      <c r="E41" s="4">
        <f t="shared" si="1"/>
        <v>0.32833333333333298</v>
      </c>
      <c r="F41" t="s">
        <v>8</v>
      </c>
      <c r="G41" s="6">
        <v>1E-4</v>
      </c>
      <c r="H41">
        <v>0.32833333333333298</v>
      </c>
    </row>
    <row r="42" spans="1:8" x14ac:dyDescent="0.2">
      <c r="A42" s="1">
        <v>43313.708333333336</v>
      </c>
      <c r="B42">
        <v>2472</v>
      </c>
      <c r="C42" s="3">
        <v>0</v>
      </c>
      <c r="D42" s="2">
        <v>2.9955333333333298</v>
      </c>
      <c r="E42" s="4">
        <f t="shared" si="1"/>
        <v>2.9955333333333298</v>
      </c>
      <c r="F42" t="s">
        <v>8</v>
      </c>
      <c r="G42">
        <v>2.3627500000000001</v>
      </c>
      <c r="H42">
        <v>0.6327833333333297</v>
      </c>
    </row>
    <row r="43" spans="1:8" x14ac:dyDescent="0.2">
      <c r="A43" s="1">
        <v>43313.708333333336</v>
      </c>
      <c r="B43">
        <v>2859</v>
      </c>
      <c r="C43" s="3">
        <v>0</v>
      </c>
      <c r="D43" s="2">
        <v>1.1019333333333301</v>
      </c>
      <c r="E43" s="4">
        <f t="shared" si="1"/>
        <v>1.1019333333333301</v>
      </c>
      <c r="F43" t="s">
        <v>8</v>
      </c>
      <c r="G43">
        <v>0.62511666666666599</v>
      </c>
      <c r="H43">
        <v>0.47681666666666411</v>
      </c>
    </row>
    <row r="44" spans="1:8" x14ac:dyDescent="0.2">
      <c r="A44" s="1">
        <v>43313.708333333336</v>
      </c>
      <c r="B44">
        <v>2953</v>
      </c>
      <c r="C44" s="3">
        <v>0</v>
      </c>
      <c r="D44" s="2">
        <v>1.5791833333333301</v>
      </c>
      <c r="E44" s="4">
        <f t="shared" si="1"/>
        <v>1.5791833333333301</v>
      </c>
      <c r="F44" t="s">
        <v>8</v>
      </c>
      <c r="G44">
        <v>1.14858333333333</v>
      </c>
      <c r="H44">
        <v>0.43060000000000009</v>
      </c>
    </row>
    <row r="45" spans="1:8" x14ac:dyDescent="0.2">
      <c r="A45" s="1">
        <v>43313.708333333336</v>
      </c>
      <c r="B45">
        <v>3273</v>
      </c>
      <c r="C45" s="3">
        <v>0</v>
      </c>
      <c r="D45" s="2">
        <v>1.9961833333333301</v>
      </c>
      <c r="E45" s="4">
        <f t="shared" si="1"/>
        <v>1.9961833333333301</v>
      </c>
      <c r="F45" t="s">
        <v>8</v>
      </c>
      <c r="G45">
        <v>1.2444999999999999</v>
      </c>
      <c r="H45">
        <v>0.75168333333333015</v>
      </c>
    </row>
    <row r="46" spans="1:8" x14ac:dyDescent="0.2">
      <c r="A46" s="1">
        <v>43313.708333333336</v>
      </c>
      <c r="B46">
        <v>3401</v>
      </c>
      <c r="C46" s="3">
        <v>0</v>
      </c>
      <c r="D46" s="2">
        <v>5.6188166666666604</v>
      </c>
      <c r="E46" s="4">
        <f t="shared" si="1"/>
        <v>5.6188166666666604</v>
      </c>
      <c r="F46" t="s">
        <v>8</v>
      </c>
      <c r="G46">
        <v>1.3109500000000001</v>
      </c>
      <c r="H46">
        <v>4.3078666666666603</v>
      </c>
    </row>
    <row r="47" spans="1:8" x14ac:dyDescent="0.2">
      <c r="A47" s="1">
        <v>43313.708333333336</v>
      </c>
      <c r="B47">
        <v>3778</v>
      </c>
      <c r="C47" s="3">
        <v>0</v>
      </c>
      <c r="D47" s="2">
        <v>3.3771</v>
      </c>
      <c r="E47" s="4">
        <f t="shared" si="1"/>
        <v>3.3771</v>
      </c>
      <c r="F47" t="s">
        <v>8</v>
      </c>
      <c r="G47">
        <v>1.4073166666666601</v>
      </c>
      <c r="H47">
        <v>1.9697833333333399</v>
      </c>
    </row>
    <row r="48" spans="1:8" x14ac:dyDescent="0.2">
      <c r="A48" s="1">
        <v>43313.708333333336</v>
      </c>
      <c r="B48">
        <v>3831</v>
      </c>
      <c r="C48" s="3">
        <v>0</v>
      </c>
      <c r="D48" s="2">
        <v>2.9859</v>
      </c>
      <c r="E48" s="4">
        <f t="shared" si="1"/>
        <v>2.9859</v>
      </c>
      <c r="F48" t="s">
        <v>8</v>
      </c>
      <c r="G48">
        <v>1.9699500000000001</v>
      </c>
      <c r="H48">
        <v>1.0159499999999999</v>
      </c>
    </row>
    <row r="49" spans="1:8" x14ac:dyDescent="0.2">
      <c r="A49" s="1">
        <v>43313.708333333336</v>
      </c>
      <c r="B49">
        <v>3893</v>
      </c>
      <c r="C49" s="3">
        <v>0</v>
      </c>
      <c r="D49" s="2">
        <v>4.1470500000000001</v>
      </c>
      <c r="E49" s="4">
        <f t="shared" si="1"/>
        <v>4.1470500000000001</v>
      </c>
      <c r="F49" t="s">
        <v>8</v>
      </c>
      <c r="G49">
        <v>1.26475</v>
      </c>
      <c r="H49">
        <v>2.8822999999999999</v>
      </c>
    </row>
    <row r="50" spans="1:8" x14ac:dyDescent="0.2">
      <c r="A50" s="1">
        <v>43313.708333333336</v>
      </c>
      <c r="B50">
        <v>4213</v>
      </c>
      <c r="C50" s="3">
        <v>0</v>
      </c>
      <c r="D50" s="2">
        <v>0.25514999999999999</v>
      </c>
      <c r="E50" s="4">
        <f t="shared" si="1"/>
        <v>0.25514999999999999</v>
      </c>
      <c r="F50" t="s">
        <v>8</v>
      </c>
      <c r="G50" s="6">
        <v>1E-4</v>
      </c>
      <c r="H50">
        <v>0.25514999999999999</v>
      </c>
    </row>
    <row r="51" spans="1:8" x14ac:dyDescent="0.2">
      <c r="A51" s="1">
        <v>43313.708333333336</v>
      </c>
      <c r="B51">
        <v>4298</v>
      </c>
      <c r="C51" s="3">
        <v>0</v>
      </c>
      <c r="D51" s="2">
        <v>2.32398333333333</v>
      </c>
      <c r="E51" s="4">
        <f t="shared" si="1"/>
        <v>2.32398333333333</v>
      </c>
      <c r="F51" t="s">
        <v>8</v>
      </c>
      <c r="G51">
        <v>1.7900499999999999</v>
      </c>
      <c r="H51">
        <v>0.53393333333333004</v>
      </c>
    </row>
    <row r="52" spans="1:8" x14ac:dyDescent="0.2">
      <c r="A52" s="1">
        <v>43313.708333333336</v>
      </c>
      <c r="B52">
        <v>370</v>
      </c>
      <c r="C52" s="3" t="e">
        <f t="array" ref="C52">VLOOKUP(A52&amp;B52,IF({1,0},#REF!&amp;#REF!,#REF!),2,FALSE)</f>
        <v>#N/A</v>
      </c>
      <c r="D52" s="3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2.6234500000000001</v>
      </c>
      <c r="H52">
        <v>1.2703833333333301</v>
      </c>
    </row>
    <row r="53" spans="1:8" x14ac:dyDescent="0.2">
      <c r="A53" s="1">
        <v>43313.708333333336</v>
      </c>
      <c r="B53">
        <v>2638</v>
      </c>
      <c r="C53" s="3" t="e">
        <f t="array" ref="C53">VLOOKUP(A53&amp;B53,IF({1,0},#REF!&amp;#REF!,#REF!),2,FALSE)</f>
        <v>#N/A</v>
      </c>
      <c r="D53" s="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4.3151666666666602</v>
      </c>
      <c r="H53">
        <v>0.97044999999999959</v>
      </c>
    </row>
    <row r="54" spans="1:8" x14ac:dyDescent="0.2">
      <c r="A54" s="1">
        <v>43313.708333333336</v>
      </c>
      <c r="B54">
        <v>3482</v>
      </c>
      <c r="C54" s="3" t="e">
        <f t="array" ref="C54">VLOOKUP(A54&amp;B54,IF({1,0},#REF!&amp;#REF!,#REF!),2,FALSE)</f>
        <v>#N/A</v>
      </c>
      <c r="D54" s="3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0.72745000000000004</v>
      </c>
      <c r="H54">
        <v>0.58836666666665993</v>
      </c>
    </row>
    <row r="55" spans="1:8" x14ac:dyDescent="0.2">
      <c r="A55" s="1">
        <v>43313.708333333336</v>
      </c>
      <c r="B55">
        <v>3723</v>
      </c>
      <c r="C55" s="3" t="e">
        <f t="array" ref="C55">VLOOKUP(A55&amp;B55,IF({1,0},#REF!&amp;#REF!,#REF!),2,FALSE)</f>
        <v>#N/A</v>
      </c>
      <c r="D55" s="3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2.3003</v>
      </c>
      <c r="H55">
        <v>3.2056166666666597</v>
      </c>
    </row>
    <row r="56" spans="1:8" x14ac:dyDescent="0.2">
      <c r="A56" s="1">
        <v>43313.708333333336</v>
      </c>
      <c r="B56">
        <v>3967</v>
      </c>
      <c r="C56" s="3" t="e">
        <f t="array" ref="C56">VLOOKUP(A56&amp;B56,IF({1,0},#REF!&amp;#REF!,#REF!),2,FALSE)</f>
        <v>#N/A</v>
      </c>
      <c r="D56" s="3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3.2423833333333301</v>
      </c>
      <c r="H56">
        <v>1.1816666666666702</v>
      </c>
    </row>
    <row r="57" spans="1:8" x14ac:dyDescent="0.2">
      <c r="A57" s="1">
        <v>43313.708333333336</v>
      </c>
      <c r="B57">
        <v>4998</v>
      </c>
      <c r="C57" s="3" t="e">
        <f t="array" ref="C57">VLOOKUP(A57&amp;B57,IF({1,0},#REF!&amp;#REF!,#REF!),2,FALSE)</f>
        <v>#N/A</v>
      </c>
      <c r="D57" s="3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1.2994000000000001</v>
      </c>
      <c r="H57">
        <v>0.85308333333332986</v>
      </c>
    </row>
    <row r="58" spans="1:8" x14ac:dyDescent="0.2">
      <c r="A58" s="1">
        <v>43313.708333333336</v>
      </c>
      <c r="B58">
        <v>5749</v>
      </c>
      <c r="C58" s="3" t="e">
        <f t="array" ref="C58">VLOOKUP(A58&amp;B58,IF({1,0},#REF!&amp;#REF!,#REF!),2,FALSE)</f>
        <v>#N/A</v>
      </c>
      <c r="D58" s="3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2.5590999999999902</v>
      </c>
      <c r="H58">
        <v>1.5633666666666697</v>
      </c>
    </row>
    <row r="59" spans="1:8" x14ac:dyDescent="0.2">
      <c r="A59" s="1">
        <v>43313.708333333336</v>
      </c>
      <c r="B59">
        <v>6248</v>
      </c>
      <c r="C59" s="3" t="e">
        <f t="array" ref="C59">VLOOKUP(A59&amp;B59,IF({1,0},#REF!&amp;#REF!,#REF!),2,FALSE)</f>
        <v>#N/A</v>
      </c>
      <c r="D59" s="3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3.0084166666666605</v>
      </c>
      <c r="H59">
        <v>2.3638166666666698</v>
      </c>
    </row>
    <row r="60" spans="1:8" x14ac:dyDescent="0.2">
      <c r="A60" s="1">
        <v>43313.708333333336</v>
      </c>
      <c r="B60">
        <v>6691</v>
      </c>
      <c r="C60" s="3" t="e">
        <f t="array" ref="C60">VLOOKUP(A60&amp;B60,IF({1,0},#REF!&amp;#REF!,#REF!),2,FALSE)</f>
        <v>#N/A</v>
      </c>
      <c r="D60" s="3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3.5661666666666667</v>
      </c>
      <c r="H60">
        <v>2.2319166666666632</v>
      </c>
    </row>
    <row r="61" spans="1:8" x14ac:dyDescent="0.2">
      <c r="A61" s="1">
        <v>43313.708333333336</v>
      </c>
      <c r="B61">
        <v>7024</v>
      </c>
      <c r="C61" s="3" t="e">
        <f t="array" ref="C61">VLOOKUP(A61&amp;B61,IF({1,0},#REF!&amp;#REF!,#REF!),2,FALSE)</f>
        <v>#N/A</v>
      </c>
      <c r="D61" s="3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1.37133333333333</v>
      </c>
      <c r="H61">
        <v>0.67290000000000005</v>
      </c>
    </row>
    <row r="62" spans="1:8" x14ac:dyDescent="0.2">
      <c r="A62" s="1">
        <v>43313.708333333336</v>
      </c>
      <c r="B62">
        <v>7875</v>
      </c>
      <c r="C62" s="3" t="e">
        <f t="array" ref="C62">VLOOKUP(A62&amp;B62,IF({1,0},#REF!&amp;#REF!,#REF!),2,FALSE)</f>
        <v>#N/A</v>
      </c>
      <c r="D62" s="3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1.1228166666666599</v>
      </c>
      <c r="H62">
        <v>0.52096666666667013</v>
      </c>
    </row>
    <row r="63" spans="1:8" x14ac:dyDescent="0.2">
      <c r="A63" s="1">
        <v>43313.708333333336</v>
      </c>
      <c r="B63">
        <v>8236</v>
      </c>
      <c r="C63" s="3" t="e">
        <f t="array" ref="C63">VLOOKUP(A63&amp;B63,IF({1,0},#REF!&amp;#REF!,#REF!),2,FALSE)</f>
        <v>#N/A</v>
      </c>
      <c r="D63" s="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2.3226833333333268</v>
      </c>
      <c r="H63">
        <v>0.67721666666667302</v>
      </c>
    </row>
    <row r="64" spans="1:8" x14ac:dyDescent="0.2">
      <c r="A64" s="1">
        <v>43313.708333333336</v>
      </c>
      <c r="B64">
        <v>8645</v>
      </c>
      <c r="C64" s="3" t="e">
        <f t="array" ref="C64">VLOOKUP(A64&amp;B64,IF({1,0},#REF!&amp;#REF!,#REF!),2,FALSE)</f>
        <v>#N/A</v>
      </c>
      <c r="D64" s="3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1.615899999999999</v>
      </c>
      <c r="H64">
        <v>0.18605000000000094</v>
      </c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6928E-7E6A-AB47-8343-6EAC9640828B}">
  <dimension ref="A1:H17111"/>
  <sheetViews>
    <sheetView topLeftCell="A31" zoomScale="173" workbookViewId="0">
      <selection activeCell="G50" sqref="G50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43313.75</v>
      </c>
      <c r="B2">
        <v>252</v>
      </c>
      <c r="C2" s="3">
        <v>1.5130999999999999</v>
      </c>
      <c r="D2" s="2">
        <v>7.7454999999999998</v>
      </c>
      <c r="E2" s="4">
        <f>D2-C2</f>
        <v>6.2324000000000002</v>
      </c>
      <c r="F2" t="s">
        <v>6</v>
      </c>
      <c r="G2" s="6">
        <v>1E-4</v>
      </c>
      <c r="H2">
        <v>7.7454999999999998</v>
      </c>
    </row>
    <row r="3" spans="1:8" x14ac:dyDescent="0.2">
      <c r="A3" s="1">
        <v>43313.75</v>
      </c>
      <c r="B3">
        <v>379</v>
      </c>
      <c r="C3" s="3">
        <v>0.35525000000000001</v>
      </c>
      <c r="D3" s="2">
        <v>4.6572333333333296</v>
      </c>
      <c r="E3" s="4">
        <f t="shared" ref="E3:E21" si="0">D3-C3</f>
        <v>4.3019833333333297</v>
      </c>
      <c r="F3" t="s">
        <v>6</v>
      </c>
      <c r="G3">
        <v>3.2306666666666599</v>
      </c>
      <c r="H3">
        <v>1.4265666666666696</v>
      </c>
    </row>
    <row r="4" spans="1:8" x14ac:dyDescent="0.2">
      <c r="A4" s="1">
        <v>43313.75</v>
      </c>
      <c r="B4">
        <v>434</v>
      </c>
      <c r="C4" s="3">
        <v>2.03971666666666</v>
      </c>
      <c r="D4" s="2">
        <v>6.1226500000000001</v>
      </c>
      <c r="E4" s="4">
        <f t="shared" si="0"/>
        <v>4.0829333333333402</v>
      </c>
      <c r="F4" t="s">
        <v>6</v>
      </c>
      <c r="G4">
        <v>4.9818666666666598</v>
      </c>
      <c r="H4">
        <v>1.1407833333333404</v>
      </c>
    </row>
    <row r="5" spans="1:8" x14ac:dyDescent="0.2">
      <c r="A5" s="1">
        <v>43313.75</v>
      </c>
      <c r="B5">
        <v>1718</v>
      </c>
      <c r="C5" s="3">
        <v>1.84253333333333</v>
      </c>
      <c r="D5" s="2">
        <v>5.0382333333333298</v>
      </c>
      <c r="E5" s="4">
        <f t="shared" si="0"/>
        <v>3.1956999999999995</v>
      </c>
      <c r="F5" t="s">
        <v>6</v>
      </c>
      <c r="G5" s="6">
        <v>1E-4</v>
      </c>
      <c r="H5">
        <v>5.0382333333333298</v>
      </c>
    </row>
    <row r="6" spans="1:8" x14ac:dyDescent="0.2">
      <c r="A6" s="1">
        <v>43313.75</v>
      </c>
      <c r="B6">
        <v>1792</v>
      </c>
      <c r="C6" s="3">
        <v>1.3905666666666601</v>
      </c>
      <c r="D6" s="2">
        <v>4.1658333333333299</v>
      </c>
      <c r="E6" s="4">
        <f t="shared" si="0"/>
        <v>2.7752666666666697</v>
      </c>
      <c r="F6" t="s">
        <v>6</v>
      </c>
      <c r="G6" s="6">
        <v>1E-4</v>
      </c>
      <c r="H6">
        <v>4.1658333333333299</v>
      </c>
    </row>
    <row r="7" spans="1:8" x14ac:dyDescent="0.2">
      <c r="A7" s="1">
        <v>43313.75</v>
      </c>
      <c r="B7">
        <v>2925</v>
      </c>
      <c r="C7" s="3">
        <v>1.1731428571428499</v>
      </c>
      <c r="D7" s="2">
        <v>4.6059999999999999</v>
      </c>
      <c r="E7" s="4">
        <f t="shared" si="0"/>
        <v>3.4328571428571499</v>
      </c>
      <c r="F7" t="s">
        <v>6</v>
      </c>
      <c r="G7" s="6">
        <v>1E-4</v>
      </c>
      <c r="H7">
        <v>4.6059999999999999</v>
      </c>
    </row>
    <row r="8" spans="1:8" x14ac:dyDescent="0.2">
      <c r="A8" s="1">
        <v>43313.75</v>
      </c>
      <c r="B8">
        <v>3649</v>
      </c>
      <c r="C8" s="3">
        <v>0.55288333333333295</v>
      </c>
      <c r="D8" s="2">
        <v>6.0594999999999999</v>
      </c>
      <c r="E8" s="4">
        <f t="shared" si="0"/>
        <v>5.5066166666666669</v>
      </c>
      <c r="F8" t="s">
        <v>6</v>
      </c>
      <c r="G8">
        <v>3.6562166666666598</v>
      </c>
      <c r="H8">
        <v>2.4032833333333401</v>
      </c>
    </row>
    <row r="9" spans="1:8" x14ac:dyDescent="0.2">
      <c r="A9" s="1">
        <v>43313.75</v>
      </c>
      <c r="B9">
        <v>4357</v>
      </c>
      <c r="C9" s="3">
        <v>0.41896666666666599</v>
      </c>
      <c r="D9" s="2">
        <v>2.0635333333333299</v>
      </c>
      <c r="E9" s="4">
        <f t="shared" si="0"/>
        <v>1.6445666666666638</v>
      </c>
      <c r="F9" t="s">
        <v>6</v>
      </c>
      <c r="G9">
        <v>1.2655000000000001</v>
      </c>
      <c r="H9">
        <v>0.79803333333332982</v>
      </c>
    </row>
    <row r="10" spans="1:8" x14ac:dyDescent="0.2">
      <c r="A10" s="1">
        <v>43313.75</v>
      </c>
      <c r="B10">
        <v>4874</v>
      </c>
      <c r="C10" s="3">
        <v>0.31891666666666602</v>
      </c>
      <c r="D10" s="2">
        <v>4.8254000000000001</v>
      </c>
      <c r="E10" s="4">
        <f t="shared" si="0"/>
        <v>4.5064833333333345</v>
      </c>
      <c r="F10" t="s">
        <v>6</v>
      </c>
      <c r="G10">
        <v>2.865766666666667</v>
      </c>
      <c r="H10">
        <v>1.9596333333333331</v>
      </c>
    </row>
    <row r="11" spans="1:8" x14ac:dyDescent="0.2">
      <c r="A11" s="1">
        <v>43313.75</v>
      </c>
      <c r="B11">
        <v>5035</v>
      </c>
      <c r="C11" s="3">
        <v>0.83863333333333301</v>
      </c>
      <c r="D11" s="2">
        <v>5.1663666666666597</v>
      </c>
      <c r="E11" s="4">
        <f t="shared" si="0"/>
        <v>4.3277333333333265</v>
      </c>
      <c r="F11" t="s">
        <v>6</v>
      </c>
      <c r="G11" s="6">
        <v>1E-4</v>
      </c>
      <c r="H11">
        <v>5.1663666666666597</v>
      </c>
    </row>
    <row r="12" spans="1:8" x14ac:dyDescent="0.2">
      <c r="A12" s="1">
        <v>43313.75</v>
      </c>
      <c r="B12">
        <v>93</v>
      </c>
      <c r="C12" s="3">
        <v>0.33826666666666599</v>
      </c>
      <c r="D12" s="2">
        <v>0.90556666666666596</v>
      </c>
      <c r="E12" s="4">
        <f t="shared" si="0"/>
        <v>0.56729999999999992</v>
      </c>
      <c r="F12" t="s">
        <v>7</v>
      </c>
      <c r="G12">
        <v>0.47568333333333335</v>
      </c>
      <c r="H12">
        <v>0.42988333333333262</v>
      </c>
    </row>
    <row r="13" spans="1:8" x14ac:dyDescent="0.2">
      <c r="A13" s="1">
        <v>43313.75</v>
      </c>
      <c r="B13">
        <v>171</v>
      </c>
      <c r="C13" s="3">
        <v>2.8409833333333299</v>
      </c>
      <c r="D13" s="2">
        <v>2.6215666666666602</v>
      </c>
      <c r="E13" s="4">
        <f t="shared" si="0"/>
        <v>-0.2194166666666697</v>
      </c>
      <c r="F13" t="s">
        <v>7</v>
      </c>
      <c r="G13" s="6">
        <v>1E-4</v>
      </c>
      <c r="H13">
        <v>2.6215666666666602</v>
      </c>
    </row>
    <row r="14" spans="1:8" x14ac:dyDescent="0.2">
      <c r="A14" s="1">
        <v>43313.75</v>
      </c>
      <c r="B14">
        <v>668</v>
      </c>
      <c r="C14" s="3">
        <v>1.8857666666666599</v>
      </c>
      <c r="D14" s="2">
        <v>4.2921166666666597</v>
      </c>
      <c r="E14" s="4">
        <f t="shared" si="0"/>
        <v>2.4063499999999998</v>
      </c>
      <c r="F14" t="s">
        <v>7</v>
      </c>
      <c r="G14">
        <v>2.7745166666666599</v>
      </c>
      <c r="H14">
        <v>1.5175999999999998</v>
      </c>
    </row>
    <row r="15" spans="1:8" x14ac:dyDescent="0.2">
      <c r="A15" s="1">
        <v>43313.75</v>
      </c>
      <c r="B15">
        <v>781</v>
      </c>
      <c r="C15" s="3">
        <v>1.6879166666666601</v>
      </c>
      <c r="D15" s="2">
        <v>1.9895499999999999</v>
      </c>
      <c r="E15" s="4">
        <f t="shared" si="0"/>
        <v>0.30163333333333986</v>
      </c>
      <c r="F15" t="s">
        <v>7</v>
      </c>
      <c r="G15">
        <v>1.43316666666666</v>
      </c>
      <c r="H15">
        <v>0.55638333333333989</v>
      </c>
    </row>
    <row r="16" spans="1:8" x14ac:dyDescent="0.2">
      <c r="A16" s="1">
        <v>43313.75</v>
      </c>
      <c r="B16">
        <v>974</v>
      </c>
      <c r="C16" s="3">
        <v>1.6802333333333299</v>
      </c>
      <c r="D16" s="2">
        <v>4.3596666666666604</v>
      </c>
      <c r="E16" s="4">
        <f t="shared" si="0"/>
        <v>2.6794333333333302</v>
      </c>
      <c r="F16" t="s">
        <v>7</v>
      </c>
      <c r="G16">
        <v>2.7318500000000001</v>
      </c>
      <c r="H16">
        <v>1.6278166666666603</v>
      </c>
    </row>
    <row r="17" spans="1:8" x14ac:dyDescent="0.2">
      <c r="A17" s="1">
        <v>43313.75</v>
      </c>
      <c r="B17">
        <v>1192</v>
      </c>
      <c r="C17" s="3">
        <v>1.9364333333333299</v>
      </c>
      <c r="D17" s="2">
        <v>3.6251166666666599</v>
      </c>
      <c r="E17" s="4">
        <f t="shared" si="0"/>
        <v>1.68868333333333</v>
      </c>
      <c r="F17" t="s">
        <v>7</v>
      </c>
      <c r="G17">
        <v>2.7300666666666666</v>
      </c>
      <c r="H17">
        <v>0.89504999999999324</v>
      </c>
    </row>
    <row r="18" spans="1:8" x14ac:dyDescent="0.2">
      <c r="A18" s="1">
        <v>43313.75</v>
      </c>
      <c r="B18">
        <v>1354</v>
      </c>
      <c r="C18" s="3">
        <v>0.64893333333333303</v>
      </c>
      <c r="D18" s="2">
        <v>3.38645</v>
      </c>
      <c r="E18" s="4">
        <f t="shared" si="0"/>
        <v>2.737516666666667</v>
      </c>
      <c r="F18" t="s">
        <v>7</v>
      </c>
      <c r="G18">
        <v>2.4992166666666669</v>
      </c>
      <c r="H18">
        <v>0.8872333333333331</v>
      </c>
    </row>
    <row r="19" spans="1:8" x14ac:dyDescent="0.2">
      <c r="A19" s="1">
        <v>43313.75</v>
      </c>
      <c r="B19">
        <v>1714</v>
      </c>
      <c r="C19" s="3">
        <v>0.13121666666666601</v>
      </c>
      <c r="D19" s="2">
        <v>3.802</v>
      </c>
      <c r="E19" s="4">
        <f t="shared" si="0"/>
        <v>3.670783333333334</v>
      </c>
      <c r="F19" t="s">
        <v>7</v>
      </c>
      <c r="G19">
        <v>2.8494499999999934</v>
      </c>
      <c r="H19">
        <v>0.95255000000000667</v>
      </c>
    </row>
    <row r="20" spans="1:8" x14ac:dyDescent="0.2">
      <c r="A20" s="1">
        <v>43313.75</v>
      </c>
      <c r="B20">
        <v>1800</v>
      </c>
      <c r="C20" s="3">
        <v>2.5225166666666601</v>
      </c>
      <c r="D20" s="2">
        <v>0.92768333333333297</v>
      </c>
      <c r="E20" s="4">
        <f t="shared" si="0"/>
        <v>-1.5948333333333271</v>
      </c>
      <c r="F20" t="s">
        <v>7</v>
      </c>
      <c r="G20">
        <v>0.19991666666666599</v>
      </c>
      <c r="H20">
        <v>0.72776666666666701</v>
      </c>
    </row>
    <row r="21" spans="1:8" x14ac:dyDescent="0.2">
      <c r="A21" s="1">
        <v>43313.75</v>
      </c>
      <c r="B21">
        <v>2129</v>
      </c>
      <c r="C21" s="3">
        <v>1.4998</v>
      </c>
      <c r="D21" s="2">
        <v>2.9749500000000002</v>
      </c>
      <c r="E21" s="4">
        <f t="shared" si="0"/>
        <v>1.4751500000000002</v>
      </c>
      <c r="F21" t="s">
        <v>7</v>
      </c>
      <c r="G21">
        <v>1.86575</v>
      </c>
      <c r="H21">
        <v>1.1092000000000002</v>
      </c>
    </row>
    <row r="22" spans="1:8" x14ac:dyDescent="0.2">
      <c r="A22" s="1">
        <v>43313.75</v>
      </c>
      <c r="B22">
        <v>59</v>
      </c>
      <c r="C22" s="3">
        <v>0</v>
      </c>
      <c r="D22" s="2">
        <v>3.3009499999999998</v>
      </c>
      <c r="E22" s="4">
        <f t="shared" ref="E22:E64" si="1">D22-C22</f>
        <v>3.3009499999999998</v>
      </c>
      <c r="F22" t="s">
        <v>8</v>
      </c>
      <c r="G22">
        <v>2.2261000000000002</v>
      </c>
      <c r="H22">
        <v>1.0748499999999996</v>
      </c>
    </row>
    <row r="23" spans="1:8" x14ac:dyDescent="0.2">
      <c r="A23" s="1">
        <v>43313.75</v>
      </c>
      <c r="B23">
        <v>86</v>
      </c>
      <c r="C23" s="3">
        <v>0</v>
      </c>
      <c r="D23" s="2">
        <v>3.1721499999999998</v>
      </c>
      <c r="E23" s="4">
        <f t="shared" si="1"/>
        <v>3.1721499999999998</v>
      </c>
      <c r="F23" t="s">
        <v>8</v>
      </c>
      <c r="G23">
        <v>1.8358499999999967</v>
      </c>
      <c r="H23">
        <v>1.3363000000000032</v>
      </c>
    </row>
    <row r="24" spans="1:8" x14ac:dyDescent="0.2">
      <c r="A24" s="1">
        <v>43313.75</v>
      </c>
      <c r="B24">
        <v>94</v>
      </c>
      <c r="C24" s="3">
        <v>0</v>
      </c>
      <c r="D24" s="2">
        <v>1.19326666666666</v>
      </c>
      <c r="E24" s="4">
        <f t="shared" si="1"/>
        <v>1.19326666666666</v>
      </c>
      <c r="F24" t="s">
        <v>8</v>
      </c>
      <c r="G24">
        <v>0.37931666666666602</v>
      </c>
      <c r="H24">
        <v>0.81394999999999396</v>
      </c>
    </row>
    <row r="25" spans="1:8" x14ac:dyDescent="0.2">
      <c r="A25" s="1">
        <v>43313.75</v>
      </c>
      <c r="B25">
        <v>115</v>
      </c>
      <c r="C25" s="3">
        <v>0</v>
      </c>
      <c r="D25" s="2">
        <v>1.8552166666666601</v>
      </c>
      <c r="E25" s="4">
        <f t="shared" si="1"/>
        <v>1.8552166666666601</v>
      </c>
      <c r="F25" t="s">
        <v>8</v>
      </c>
      <c r="G25">
        <v>1.1626666666666601</v>
      </c>
      <c r="H25">
        <v>0.69255</v>
      </c>
    </row>
    <row r="26" spans="1:8" x14ac:dyDescent="0.2">
      <c r="A26" s="1">
        <v>43313.75</v>
      </c>
      <c r="B26">
        <v>503</v>
      </c>
      <c r="C26" s="3">
        <v>0</v>
      </c>
      <c r="D26" s="2">
        <v>5.5520333333333296</v>
      </c>
      <c r="E26" s="4">
        <f t="shared" si="1"/>
        <v>5.5520333333333296</v>
      </c>
      <c r="F26" t="s">
        <v>8</v>
      </c>
      <c r="G26">
        <v>4.1433833333333299</v>
      </c>
      <c r="H26">
        <v>1.4086499999999997</v>
      </c>
    </row>
    <row r="27" spans="1:8" x14ac:dyDescent="0.2">
      <c r="A27" s="1">
        <v>43313.75</v>
      </c>
      <c r="B27">
        <v>621</v>
      </c>
      <c r="C27" s="3">
        <v>0</v>
      </c>
      <c r="D27" s="2">
        <v>1.0033000000000001</v>
      </c>
      <c r="E27" s="4">
        <f t="shared" si="1"/>
        <v>1.0033000000000001</v>
      </c>
      <c r="F27" t="s">
        <v>8</v>
      </c>
      <c r="G27">
        <v>0.3533</v>
      </c>
      <c r="H27">
        <v>0.65000000000000013</v>
      </c>
    </row>
    <row r="28" spans="1:8" x14ac:dyDescent="0.2">
      <c r="A28" s="1">
        <v>43313.75</v>
      </c>
      <c r="B28">
        <v>871</v>
      </c>
      <c r="C28" s="3">
        <v>0</v>
      </c>
      <c r="D28" s="2">
        <v>1.08086666666666</v>
      </c>
      <c r="E28" s="4">
        <f t="shared" si="1"/>
        <v>1.08086666666666</v>
      </c>
      <c r="F28" t="s">
        <v>8</v>
      </c>
      <c r="G28">
        <v>0.49541666666666601</v>
      </c>
      <c r="H28">
        <v>0.58544999999999403</v>
      </c>
    </row>
    <row r="29" spans="1:8" x14ac:dyDescent="0.2">
      <c r="A29" s="1">
        <v>43313.75</v>
      </c>
      <c r="B29">
        <v>930</v>
      </c>
      <c r="C29" s="3">
        <v>0</v>
      </c>
      <c r="D29" s="2">
        <v>4.2225000000000001</v>
      </c>
      <c r="E29" s="4">
        <f t="shared" si="1"/>
        <v>4.2225000000000001</v>
      </c>
      <c r="F29" t="s">
        <v>8</v>
      </c>
      <c r="G29">
        <v>1.5990500000000001</v>
      </c>
      <c r="H29">
        <v>2.6234500000000001</v>
      </c>
    </row>
    <row r="30" spans="1:8" x14ac:dyDescent="0.2">
      <c r="A30" s="1">
        <v>43313.75</v>
      </c>
      <c r="B30">
        <v>946</v>
      </c>
      <c r="C30" s="3">
        <v>0</v>
      </c>
      <c r="D30" s="2">
        <v>2.0346500000000001</v>
      </c>
      <c r="E30" s="4">
        <f t="shared" si="1"/>
        <v>2.0346500000000001</v>
      </c>
      <c r="F30" t="s">
        <v>8</v>
      </c>
      <c r="G30">
        <v>1.4054333333333298</v>
      </c>
      <c r="H30">
        <v>0.62921666666667031</v>
      </c>
    </row>
    <row r="31" spans="1:8" x14ac:dyDescent="0.2">
      <c r="A31" s="1">
        <v>43313.75</v>
      </c>
      <c r="B31">
        <v>994</v>
      </c>
      <c r="C31" s="3">
        <v>0</v>
      </c>
      <c r="D31" s="2">
        <v>3.3946499999999999</v>
      </c>
      <c r="E31" s="4">
        <f t="shared" si="1"/>
        <v>3.3946499999999999</v>
      </c>
      <c r="F31" t="s">
        <v>8</v>
      </c>
      <c r="G31">
        <v>2.6482666666666659</v>
      </c>
      <c r="H31">
        <v>0.74638333333333406</v>
      </c>
    </row>
    <row r="32" spans="1:8" x14ac:dyDescent="0.2">
      <c r="A32" s="1">
        <v>43313.75</v>
      </c>
      <c r="B32">
        <v>1086</v>
      </c>
      <c r="C32" s="3">
        <v>0</v>
      </c>
      <c r="D32" s="2">
        <v>1.5528500000000001</v>
      </c>
      <c r="E32" s="4">
        <f t="shared" si="1"/>
        <v>1.5528500000000001</v>
      </c>
      <c r="F32" t="s">
        <v>8</v>
      </c>
      <c r="G32">
        <v>0.5323</v>
      </c>
      <c r="H32">
        <v>1.0205500000000001</v>
      </c>
    </row>
    <row r="33" spans="1:8" x14ac:dyDescent="0.2">
      <c r="A33" s="1">
        <v>43313.75</v>
      </c>
      <c r="B33">
        <v>1202</v>
      </c>
      <c r="C33" s="3">
        <v>0</v>
      </c>
      <c r="D33" s="2">
        <v>7.19976666666666</v>
      </c>
      <c r="E33" s="4">
        <f t="shared" si="1"/>
        <v>7.19976666666666</v>
      </c>
      <c r="F33" t="s">
        <v>8</v>
      </c>
      <c r="G33">
        <v>3.9006999999999867</v>
      </c>
      <c r="H33">
        <v>3.2990666666666733</v>
      </c>
    </row>
    <row r="34" spans="1:8" x14ac:dyDescent="0.2">
      <c r="A34" s="1">
        <v>43313.75</v>
      </c>
      <c r="B34">
        <v>1334</v>
      </c>
      <c r="C34" s="3">
        <v>0</v>
      </c>
      <c r="D34" s="2">
        <v>1.6153833333333301</v>
      </c>
      <c r="E34" s="4">
        <f t="shared" si="1"/>
        <v>1.6153833333333301</v>
      </c>
      <c r="F34" t="s">
        <v>8</v>
      </c>
      <c r="G34">
        <v>0.74575000000000002</v>
      </c>
      <c r="H34">
        <v>0.86963333333333004</v>
      </c>
    </row>
    <row r="35" spans="1:8" x14ac:dyDescent="0.2">
      <c r="A35" s="1">
        <v>43313.75</v>
      </c>
      <c r="B35">
        <v>1500</v>
      </c>
      <c r="C35" s="3">
        <v>0</v>
      </c>
      <c r="D35" s="2">
        <v>1.52006666666666</v>
      </c>
      <c r="E35" s="4">
        <f t="shared" si="1"/>
        <v>1.52006666666666</v>
      </c>
      <c r="F35" t="s">
        <v>8</v>
      </c>
      <c r="G35">
        <v>0.95653333333333301</v>
      </c>
      <c r="H35">
        <v>0.563533333333327</v>
      </c>
    </row>
    <row r="36" spans="1:8" x14ac:dyDescent="0.2">
      <c r="A36" s="1">
        <v>43313.75</v>
      </c>
      <c r="B36">
        <v>1507</v>
      </c>
      <c r="C36" s="3">
        <v>0</v>
      </c>
      <c r="D36" s="2">
        <v>8.0502666666666602</v>
      </c>
      <c r="E36" s="4">
        <f t="shared" si="1"/>
        <v>8.0502666666666602</v>
      </c>
      <c r="F36" t="s">
        <v>8</v>
      </c>
      <c r="G36">
        <v>4.2288833333333269</v>
      </c>
      <c r="H36">
        <v>3.8213833333333334</v>
      </c>
    </row>
    <row r="37" spans="1:8" x14ac:dyDescent="0.2">
      <c r="A37" s="1">
        <v>43313.75</v>
      </c>
      <c r="B37">
        <v>1796</v>
      </c>
      <c r="C37" s="3">
        <v>0</v>
      </c>
      <c r="D37" s="2">
        <v>2.2123666666666599</v>
      </c>
      <c r="E37" s="4">
        <f t="shared" si="1"/>
        <v>2.2123666666666599</v>
      </c>
      <c r="F37" t="s">
        <v>8</v>
      </c>
      <c r="G37">
        <v>1.7398833333333299</v>
      </c>
      <c r="H37">
        <v>0.47248333333333004</v>
      </c>
    </row>
    <row r="38" spans="1:8" x14ac:dyDescent="0.2">
      <c r="A38" s="1">
        <v>43313.75</v>
      </c>
      <c r="B38">
        <v>2004</v>
      </c>
      <c r="C38" s="3">
        <v>0</v>
      </c>
      <c r="D38" s="2">
        <v>3.4905666666666599</v>
      </c>
      <c r="E38" s="4">
        <f t="shared" si="1"/>
        <v>3.4905666666666599</v>
      </c>
      <c r="F38" t="s">
        <v>8</v>
      </c>
      <c r="G38">
        <v>1.7935666666666634</v>
      </c>
      <c r="H38">
        <v>1.6969999999999965</v>
      </c>
    </row>
    <row r="39" spans="1:8" x14ac:dyDescent="0.2">
      <c r="A39" s="1">
        <v>43313.75</v>
      </c>
      <c r="B39">
        <v>2034</v>
      </c>
      <c r="C39" s="3">
        <v>0</v>
      </c>
      <c r="D39" s="2">
        <v>4.06331666666666</v>
      </c>
      <c r="E39" s="4">
        <f t="shared" si="1"/>
        <v>4.06331666666666</v>
      </c>
      <c r="F39" t="s">
        <v>8</v>
      </c>
      <c r="G39">
        <v>1.6075000000000002</v>
      </c>
      <c r="H39">
        <v>2.4558166666666601</v>
      </c>
    </row>
    <row r="40" spans="1:8" x14ac:dyDescent="0.2">
      <c r="A40" s="1">
        <v>43313.75</v>
      </c>
      <c r="B40">
        <v>2158</v>
      </c>
      <c r="C40" s="3">
        <v>0</v>
      </c>
      <c r="D40" s="2">
        <v>3.9376166666666599</v>
      </c>
      <c r="E40" s="4">
        <f t="shared" si="1"/>
        <v>3.9376166666666599</v>
      </c>
      <c r="F40" t="s">
        <v>8</v>
      </c>
      <c r="G40">
        <v>2.8418166666666602</v>
      </c>
      <c r="H40">
        <v>1.0957999999999997</v>
      </c>
    </row>
    <row r="41" spans="1:8" x14ac:dyDescent="0.2">
      <c r="A41" s="1">
        <v>43313.75</v>
      </c>
      <c r="B41">
        <v>2378</v>
      </c>
      <c r="C41" s="3">
        <v>0</v>
      </c>
      <c r="D41" s="2">
        <v>0.32098333333333301</v>
      </c>
      <c r="E41" s="4">
        <f t="shared" si="1"/>
        <v>0.32098333333333301</v>
      </c>
      <c r="F41" t="s">
        <v>8</v>
      </c>
      <c r="G41" s="6">
        <v>1E-4</v>
      </c>
      <c r="H41">
        <v>0.32098333333333301</v>
      </c>
    </row>
    <row r="42" spans="1:8" x14ac:dyDescent="0.2">
      <c r="A42" s="1">
        <v>43313.75</v>
      </c>
      <c r="B42">
        <v>2472</v>
      </c>
      <c r="C42" s="3">
        <v>0</v>
      </c>
      <c r="D42" s="2">
        <v>2.93008333333333</v>
      </c>
      <c r="E42" s="4">
        <f t="shared" si="1"/>
        <v>2.93008333333333</v>
      </c>
      <c r="F42" t="s">
        <v>8</v>
      </c>
      <c r="G42">
        <v>2.24465</v>
      </c>
      <c r="H42">
        <v>0.68543333333333001</v>
      </c>
    </row>
    <row r="43" spans="1:8" x14ac:dyDescent="0.2">
      <c r="A43" s="1">
        <v>43313.75</v>
      </c>
      <c r="B43">
        <v>2859</v>
      </c>
      <c r="C43" s="3">
        <v>0</v>
      </c>
      <c r="D43" s="2">
        <v>1.2618</v>
      </c>
      <c r="E43" s="4">
        <f t="shared" si="1"/>
        <v>1.2618</v>
      </c>
      <c r="F43" t="s">
        <v>8</v>
      </c>
      <c r="G43">
        <v>0.74850000000000005</v>
      </c>
      <c r="H43">
        <v>0.51329999999999998</v>
      </c>
    </row>
    <row r="44" spans="1:8" x14ac:dyDescent="0.2">
      <c r="A44" s="1">
        <v>43313.75</v>
      </c>
      <c r="B44">
        <v>2953</v>
      </c>
      <c r="C44" s="3">
        <v>0</v>
      </c>
      <c r="D44" s="2">
        <v>1.4817499999999999</v>
      </c>
      <c r="E44" s="4">
        <f t="shared" si="1"/>
        <v>1.4817499999999999</v>
      </c>
      <c r="F44" t="s">
        <v>8</v>
      </c>
      <c r="G44">
        <v>1.0488</v>
      </c>
      <c r="H44">
        <v>0.43294999999999995</v>
      </c>
    </row>
    <row r="45" spans="1:8" x14ac:dyDescent="0.2">
      <c r="A45" s="1">
        <v>43313.75</v>
      </c>
      <c r="B45">
        <v>3273</v>
      </c>
      <c r="C45" s="3">
        <v>0</v>
      </c>
      <c r="D45" s="2">
        <v>0.43031666666666601</v>
      </c>
      <c r="E45" s="4">
        <f t="shared" si="1"/>
        <v>0.43031666666666601</v>
      </c>
      <c r="F45" t="s">
        <v>8</v>
      </c>
      <c r="G45">
        <v>8.0766666666666598E-2</v>
      </c>
      <c r="H45">
        <v>0.34954999999999942</v>
      </c>
    </row>
    <row r="46" spans="1:8" x14ac:dyDescent="0.2">
      <c r="A46" s="1">
        <v>43313.75</v>
      </c>
      <c r="B46">
        <v>3401</v>
      </c>
      <c r="C46" s="3">
        <v>0</v>
      </c>
      <c r="D46" s="2">
        <v>4.6474833333333301</v>
      </c>
      <c r="E46" s="4">
        <f t="shared" si="1"/>
        <v>4.6474833333333301</v>
      </c>
      <c r="F46" t="s">
        <v>8</v>
      </c>
      <c r="G46">
        <v>1.3020166666666599</v>
      </c>
      <c r="H46">
        <v>3.3454666666666704</v>
      </c>
    </row>
    <row r="47" spans="1:8" x14ac:dyDescent="0.2">
      <c r="A47" s="1">
        <v>43313.75</v>
      </c>
      <c r="B47">
        <v>3778</v>
      </c>
      <c r="C47" s="3">
        <v>0</v>
      </c>
      <c r="D47" s="2">
        <v>2.5692833333333298</v>
      </c>
      <c r="E47" s="4">
        <f t="shared" si="1"/>
        <v>2.5692833333333298</v>
      </c>
      <c r="F47" t="s">
        <v>8</v>
      </c>
      <c r="G47">
        <v>1.3915</v>
      </c>
      <c r="H47">
        <v>1.1777833333333299</v>
      </c>
    </row>
    <row r="48" spans="1:8" x14ac:dyDescent="0.2">
      <c r="A48" s="1">
        <v>43313.75</v>
      </c>
      <c r="B48">
        <v>3831</v>
      </c>
      <c r="C48" s="3">
        <v>0</v>
      </c>
      <c r="D48" s="2">
        <v>2.7807333333333299</v>
      </c>
      <c r="E48" s="4">
        <f t="shared" si="1"/>
        <v>2.7807333333333299</v>
      </c>
      <c r="F48" t="s">
        <v>8</v>
      </c>
      <c r="G48">
        <v>1.92608333333333</v>
      </c>
      <c r="H48">
        <v>0.85464999999999991</v>
      </c>
    </row>
    <row r="49" spans="1:8" x14ac:dyDescent="0.2">
      <c r="A49" s="1">
        <v>43313.75</v>
      </c>
      <c r="B49">
        <v>3893</v>
      </c>
      <c r="C49" s="3">
        <v>0</v>
      </c>
      <c r="D49" s="2">
        <v>3.59001666666666</v>
      </c>
      <c r="E49" s="4">
        <f t="shared" si="1"/>
        <v>3.59001666666666</v>
      </c>
      <c r="F49" t="s">
        <v>8</v>
      </c>
      <c r="G49">
        <v>1.6760333333333299</v>
      </c>
      <c r="H49">
        <v>1.91398333333333</v>
      </c>
    </row>
    <row r="50" spans="1:8" x14ac:dyDescent="0.2">
      <c r="A50" s="1">
        <v>43313.75</v>
      </c>
      <c r="B50">
        <v>4213</v>
      </c>
      <c r="C50" s="3">
        <v>0</v>
      </c>
      <c r="D50" s="2">
        <v>0.25316666666666598</v>
      </c>
      <c r="E50" s="4">
        <f t="shared" si="1"/>
        <v>0.25316666666666598</v>
      </c>
      <c r="F50" t="s">
        <v>8</v>
      </c>
      <c r="G50" s="6">
        <v>1E-4</v>
      </c>
      <c r="H50">
        <v>0.25316666666666598</v>
      </c>
    </row>
    <row r="51" spans="1:8" x14ac:dyDescent="0.2">
      <c r="A51" s="1">
        <v>43313.75</v>
      </c>
      <c r="B51">
        <v>4298</v>
      </c>
      <c r="C51" s="3">
        <v>0</v>
      </c>
      <c r="D51" s="2">
        <v>2.3690833333333301</v>
      </c>
      <c r="E51" s="4">
        <f t="shared" si="1"/>
        <v>2.3690833333333301</v>
      </c>
      <c r="F51" t="s">
        <v>8</v>
      </c>
      <c r="G51">
        <v>1.80351666666666</v>
      </c>
      <c r="H51">
        <v>0.5655666666666701</v>
      </c>
    </row>
    <row r="52" spans="1:8" x14ac:dyDescent="0.2">
      <c r="A52" s="1">
        <v>43313.75</v>
      </c>
      <c r="B52">
        <v>370</v>
      </c>
      <c r="C52" s="3" t="e">
        <f t="array" ref="C52">VLOOKUP(A52&amp;B52,IF({1,0},#REF!&amp;#REF!,#REF!),2,FALSE)</f>
        <v>#N/A</v>
      </c>
      <c r="D52" s="3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5.3047833333333303</v>
      </c>
      <c r="H52">
        <v>1.1042166666666695</v>
      </c>
    </row>
    <row r="53" spans="1:8" x14ac:dyDescent="0.2">
      <c r="A53" s="1">
        <v>43313.75</v>
      </c>
      <c r="B53">
        <v>2638</v>
      </c>
      <c r="C53" s="3" t="e">
        <f t="array" ref="C53">VLOOKUP(A53&amp;B53,IF({1,0},#REF!&amp;#REF!,#REF!),2,FALSE)</f>
        <v>#N/A</v>
      </c>
      <c r="D53" s="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3.5148666666666601</v>
      </c>
      <c r="H53">
        <v>0.98024999999999984</v>
      </c>
    </row>
    <row r="54" spans="1:8" x14ac:dyDescent="0.2">
      <c r="A54" s="1">
        <v>43313.75</v>
      </c>
      <c r="B54">
        <v>3482</v>
      </c>
      <c r="C54" s="3" t="e">
        <f t="array" ref="C54">VLOOKUP(A54&amp;B54,IF({1,0},#REF!&amp;#REF!,#REF!),2,FALSE)</f>
        <v>#N/A</v>
      </c>
      <c r="D54" s="3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0.6518833333333327</v>
      </c>
      <c r="H54">
        <v>0.6423666666666672</v>
      </c>
    </row>
    <row r="55" spans="1:8" x14ac:dyDescent="0.2">
      <c r="A55" s="1">
        <v>43313.75</v>
      </c>
      <c r="B55">
        <v>3723</v>
      </c>
      <c r="C55" s="3" t="e">
        <f t="array" ref="C55">VLOOKUP(A55&amp;B55,IF({1,0},#REF!&amp;#REF!,#REF!),2,FALSE)</f>
        <v>#N/A</v>
      </c>
      <c r="D55" s="3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1.6267</v>
      </c>
      <c r="H55">
        <v>1.6311166666666601</v>
      </c>
    </row>
    <row r="56" spans="1:8" x14ac:dyDescent="0.2">
      <c r="A56" s="1">
        <v>43313.75</v>
      </c>
      <c r="B56">
        <v>3967</v>
      </c>
      <c r="C56" s="3" t="e">
        <f t="array" ref="C56">VLOOKUP(A56&amp;B56,IF({1,0},#REF!&amp;#REF!,#REF!),2,FALSE)</f>
        <v>#N/A</v>
      </c>
      <c r="D56" s="3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3.0333333333333337</v>
      </c>
      <c r="H56">
        <v>1.2022333333333264</v>
      </c>
    </row>
    <row r="57" spans="1:8" x14ac:dyDescent="0.2">
      <c r="A57" s="1">
        <v>43313.75</v>
      </c>
      <c r="B57">
        <v>4998</v>
      </c>
      <c r="C57" s="3" t="e">
        <f t="array" ref="C57">VLOOKUP(A57&amp;B57,IF({1,0},#REF!&amp;#REF!,#REF!),2,FALSE)</f>
        <v>#N/A</v>
      </c>
      <c r="D57" s="3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1.80443333333333</v>
      </c>
      <c r="H57">
        <v>0.9816999999999998</v>
      </c>
    </row>
    <row r="58" spans="1:8" x14ac:dyDescent="0.2">
      <c r="A58" s="1">
        <v>43313.75</v>
      </c>
      <c r="B58">
        <v>5749</v>
      </c>
      <c r="C58" s="3" t="e">
        <f t="array" ref="C58">VLOOKUP(A58&amp;B58,IF({1,0},#REF!&amp;#REF!,#REF!),2,FALSE)</f>
        <v>#N/A</v>
      </c>
      <c r="D58" s="3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2.56975</v>
      </c>
      <c r="H58">
        <v>1.3836499999999998</v>
      </c>
    </row>
    <row r="59" spans="1:8" x14ac:dyDescent="0.2">
      <c r="A59" s="1">
        <v>43313.75</v>
      </c>
      <c r="B59">
        <v>6248</v>
      </c>
      <c r="C59" s="3" t="e">
        <f t="array" ref="C59">VLOOKUP(A59&amp;B59,IF({1,0},#REF!&amp;#REF!,#REF!),2,FALSE)</f>
        <v>#N/A</v>
      </c>
      <c r="D59" s="3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3.0002666666666666</v>
      </c>
      <c r="H59">
        <v>2.0074833333333331</v>
      </c>
    </row>
    <row r="60" spans="1:8" x14ac:dyDescent="0.2">
      <c r="A60" s="1">
        <v>43313.75</v>
      </c>
      <c r="B60">
        <v>6691</v>
      </c>
      <c r="C60" s="3" t="e">
        <f t="array" ref="C60">VLOOKUP(A60&amp;B60,IF({1,0},#REF!&amp;#REF!,#REF!),2,FALSE)</f>
        <v>#N/A</v>
      </c>
      <c r="D60" s="3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3.6215333333333297</v>
      </c>
      <c r="H60">
        <v>1.8308500000000003</v>
      </c>
    </row>
    <row r="61" spans="1:8" x14ac:dyDescent="0.2">
      <c r="A61" s="1">
        <v>43313.75</v>
      </c>
      <c r="B61">
        <v>7024</v>
      </c>
      <c r="C61" s="3" t="e">
        <f t="array" ref="C61">VLOOKUP(A61&amp;B61,IF({1,0},#REF!&amp;#REF!,#REF!),2,FALSE)</f>
        <v>#N/A</v>
      </c>
      <c r="D61" s="3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1.1549</v>
      </c>
      <c r="H61">
        <v>0.58828333333332994</v>
      </c>
    </row>
    <row r="62" spans="1:8" x14ac:dyDescent="0.2">
      <c r="A62" s="1">
        <v>43313.75</v>
      </c>
      <c r="B62">
        <v>7875</v>
      </c>
      <c r="C62" s="3" t="e">
        <f t="array" ref="C62">VLOOKUP(A62&amp;B62,IF({1,0},#REF!&amp;#REF!,#REF!),2,FALSE)</f>
        <v>#N/A</v>
      </c>
      <c r="D62" s="3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5.7268833333333298</v>
      </c>
      <c r="H62">
        <v>0.45253333333333057</v>
      </c>
    </row>
    <row r="63" spans="1:8" x14ac:dyDescent="0.2">
      <c r="A63" s="1">
        <v>43313.75</v>
      </c>
      <c r="B63">
        <v>8236</v>
      </c>
      <c r="C63" s="3" t="e">
        <f t="array" ref="C63">VLOOKUP(A63&amp;B63,IF({1,0},#REF!&amp;#REF!,#REF!),2,FALSE)</f>
        <v>#N/A</v>
      </c>
      <c r="D63" s="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2.7176499999999995</v>
      </c>
      <c r="H63">
        <v>0.91145000000000076</v>
      </c>
    </row>
    <row r="64" spans="1:8" x14ac:dyDescent="0.2">
      <c r="A64" s="1">
        <v>43313.75</v>
      </c>
      <c r="B64">
        <v>8645</v>
      </c>
      <c r="C64" s="3" t="e">
        <f t="array" ref="C64">VLOOKUP(A64&amp;B64,IF({1,0},#REF!&amp;#REF!,#REF!),2,FALSE)</f>
        <v>#N/A</v>
      </c>
      <c r="D64" s="3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0.71161666666666601</v>
      </c>
      <c r="H64">
        <v>0.16713333333333402</v>
      </c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939A8-DE28-3C41-AA90-8CB988A24DFC}">
  <dimension ref="A1:H17111"/>
  <sheetViews>
    <sheetView topLeftCell="A34" zoomScale="173" workbookViewId="0">
      <selection activeCell="G41" sqref="G41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43313.791666666664</v>
      </c>
      <c r="B2">
        <v>252</v>
      </c>
      <c r="C2" s="3">
        <v>0.60740000000000005</v>
      </c>
      <c r="D2" s="2">
        <v>8.6281999999999996</v>
      </c>
      <c r="E2" s="4">
        <f>D2-C2</f>
        <v>8.0207999999999995</v>
      </c>
      <c r="F2" t="s">
        <v>6</v>
      </c>
      <c r="G2" s="6">
        <v>1E-4</v>
      </c>
      <c r="H2">
        <v>8.6281999999999996</v>
      </c>
    </row>
    <row r="3" spans="1:8" x14ac:dyDescent="0.2">
      <c r="A3" s="1">
        <v>43313.791666666664</v>
      </c>
      <c r="B3">
        <v>379</v>
      </c>
      <c r="C3" s="3">
        <v>0.12570000000000001</v>
      </c>
      <c r="D3" s="2">
        <v>4.5213999999999999</v>
      </c>
      <c r="E3" s="4">
        <f t="shared" ref="E3:E21" si="0">D3-C3</f>
        <v>4.3956999999999997</v>
      </c>
      <c r="F3" t="s">
        <v>6</v>
      </c>
      <c r="G3">
        <v>3.11191666666666</v>
      </c>
      <c r="H3">
        <v>1.4094833333333399</v>
      </c>
    </row>
    <row r="4" spans="1:8" x14ac:dyDescent="0.2">
      <c r="A4" s="1">
        <v>43313.791666666664</v>
      </c>
      <c r="B4">
        <v>434</v>
      </c>
      <c r="C4" s="3">
        <v>0.52483333333333304</v>
      </c>
      <c r="D4" s="2">
        <v>6.5176499999999997</v>
      </c>
      <c r="E4" s="4">
        <f t="shared" si="0"/>
        <v>5.9928166666666662</v>
      </c>
      <c r="F4" t="s">
        <v>6</v>
      </c>
      <c r="G4">
        <v>4.80381666666666</v>
      </c>
      <c r="H4">
        <v>1.7138333333333398</v>
      </c>
    </row>
    <row r="5" spans="1:8" x14ac:dyDescent="0.2">
      <c r="A5" s="1">
        <v>43313.791666666664</v>
      </c>
      <c r="B5">
        <v>1718</v>
      </c>
      <c r="C5" s="3">
        <v>0.55733333333333301</v>
      </c>
      <c r="D5" s="2">
        <v>4.9118333333333304</v>
      </c>
      <c r="E5" s="4">
        <f t="shared" si="0"/>
        <v>4.3544999999999972</v>
      </c>
      <c r="F5" t="s">
        <v>6</v>
      </c>
      <c r="G5" s="6">
        <v>1E-4</v>
      </c>
      <c r="H5">
        <v>4.9118333333333304</v>
      </c>
    </row>
    <row r="6" spans="1:8" x14ac:dyDescent="0.2">
      <c r="A6" s="1">
        <v>43313.791666666664</v>
      </c>
      <c r="B6">
        <v>1792</v>
      </c>
      <c r="C6" s="3">
        <v>0.40711666666666602</v>
      </c>
      <c r="D6" s="2">
        <v>4.0612166666666596</v>
      </c>
      <c r="E6" s="4">
        <f t="shared" si="0"/>
        <v>3.6540999999999935</v>
      </c>
      <c r="F6" t="s">
        <v>6</v>
      </c>
      <c r="G6" s="6">
        <v>1E-4</v>
      </c>
      <c r="H6">
        <v>4.0612166666666596</v>
      </c>
    </row>
    <row r="7" spans="1:8" x14ac:dyDescent="0.2">
      <c r="A7" s="1">
        <v>43313.791666666664</v>
      </c>
      <c r="B7">
        <v>2925</v>
      </c>
      <c r="C7" s="3">
        <v>0.30825000000000002</v>
      </c>
      <c r="D7" s="2">
        <v>4.6176250000000003</v>
      </c>
      <c r="E7" s="4">
        <f t="shared" si="0"/>
        <v>4.3093750000000002</v>
      </c>
      <c r="F7" t="s">
        <v>6</v>
      </c>
      <c r="G7" s="6">
        <v>1E-4</v>
      </c>
      <c r="H7">
        <v>4.6176250000000003</v>
      </c>
    </row>
    <row r="8" spans="1:8" x14ac:dyDescent="0.2">
      <c r="A8" s="1">
        <v>43313.791666666664</v>
      </c>
      <c r="B8">
        <v>3649</v>
      </c>
      <c r="C8" s="3">
        <v>0.12641666666666601</v>
      </c>
      <c r="D8" s="2">
        <v>5.2816166666666602</v>
      </c>
      <c r="E8" s="4">
        <f t="shared" si="0"/>
        <v>5.1551999999999945</v>
      </c>
      <c r="F8" t="s">
        <v>6</v>
      </c>
      <c r="G8">
        <v>3.6046166666666601</v>
      </c>
      <c r="H8">
        <v>1.677</v>
      </c>
    </row>
    <row r="9" spans="1:8" x14ac:dyDescent="0.2">
      <c r="A9" s="1">
        <v>43313.791666666664</v>
      </c>
      <c r="B9">
        <v>4357</v>
      </c>
      <c r="C9" s="3">
        <v>6.5683333333333302E-2</v>
      </c>
      <c r="D9" s="2">
        <v>3.5042</v>
      </c>
      <c r="E9" s="4">
        <f t="shared" si="0"/>
        <v>3.4385166666666667</v>
      </c>
      <c r="F9" t="s">
        <v>6</v>
      </c>
      <c r="G9">
        <v>2.4510166666666602</v>
      </c>
      <c r="H9">
        <v>1.0531833333333398</v>
      </c>
    </row>
    <row r="10" spans="1:8" x14ac:dyDescent="0.2">
      <c r="A10" s="1">
        <v>43313.791666666664</v>
      </c>
      <c r="B10">
        <v>4874</v>
      </c>
      <c r="C10" s="3">
        <v>5.7683333333333302E-2</v>
      </c>
      <c r="D10" s="2">
        <v>3.9064666666666601</v>
      </c>
      <c r="E10" s="4">
        <f t="shared" si="0"/>
        <v>3.8487833333333268</v>
      </c>
      <c r="F10" t="s">
        <v>6</v>
      </c>
      <c r="G10">
        <v>2.2783999999999933</v>
      </c>
      <c r="H10">
        <v>1.6280666666666668</v>
      </c>
    </row>
    <row r="11" spans="1:8" x14ac:dyDescent="0.2">
      <c r="A11" s="1">
        <v>43313.791666666664</v>
      </c>
      <c r="B11">
        <v>5035</v>
      </c>
      <c r="C11" s="3">
        <v>9.2833333333333296E-2</v>
      </c>
      <c r="D11" s="2">
        <v>4.2584166666666601</v>
      </c>
      <c r="E11" s="4">
        <f t="shared" si="0"/>
        <v>4.165583333333327</v>
      </c>
      <c r="F11" t="s">
        <v>6</v>
      </c>
      <c r="G11" s="6">
        <v>1E-4</v>
      </c>
      <c r="H11">
        <v>4.2584166666666601</v>
      </c>
    </row>
    <row r="12" spans="1:8" x14ac:dyDescent="0.2">
      <c r="A12" s="1">
        <v>43313.791666666664</v>
      </c>
      <c r="B12">
        <v>93</v>
      </c>
      <c r="C12" s="3">
        <v>6.0666666666666598E-2</v>
      </c>
      <c r="D12" s="2">
        <v>4.4488333333333303</v>
      </c>
      <c r="E12" s="4">
        <f t="shared" si="0"/>
        <v>4.3881666666666641</v>
      </c>
      <c r="F12" t="s">
        <v>7</v>
      </c>
      <c r="G12">
        <v>3.3085</v>
      </c>
      <c r="H12">
        <v>1.1403333333333303</v>
      </c>
    </row>
    <row r="13" spans="1:8" x14ac:dyDescent="0.2">
      <c r="A13" s="1">
        <v>43313.791666666664</v>
      </c>
      <c r="B13">
        <v>171</v>
      </c>
      <c r="C13" s="3">
        <v>1.5260499999999999</v>
      </c>
      <c r="D13" s="2">
        <v>2.4540666666666602</v>
      </c>
      <c r="E13" s="4">
        <f t="shared" si="0"/>
        <v>0.92801666666666027</v>
      </c>
      <c r="F13" t="s">
        <v>7</v>
      </c>
      <c r="G13" s="6">
        <v>1E-4</v>
      </c>
      <c r="H13">
        <v>2.4540666666666602</v>
      </c>
    </row>
    <row r="14" spans="1:8" x14ac:dyDescent="0.2">
      <c r="A14" s="1">
        <v>43313.791666666664</v>
      </c>
      <c r="B14">
        <v>668</v>
      </c>
      <c r="C14" s="3">
        <v>0.77131666666666598</v>
      </c>
      <c r="D14" s="2">
        <v>3.7067999999999999</v>
      </c>
      <c r="E14" s="4">
        <f t="shared" si="0"/>
        <v>2.9354833333333339</v>
      </c>
      <c r="F14" t="s">
        <v>7</v>
      </c>
      <c r="G14">
        <v>2.3621833333333302</v>
      </c>
      <c r="H14">
        <v>1.3446166666666697</v>
      </c>
    </row>
    <row r="15" spans="1:8" x14ac:dyDescent="0.2">
      <c r="A15" s="1">
        <v>43313.791666666664</v>
      </c>
      <c r="B15">
        <v>781</v>
      </c>
      <c r="C15" s="3">
        <v>0.75241666666666596</v>
      </c>
      <c r="D15" s="2">
        <v>2.2913666666666601</v>
      </c>
      <c r="E15" s="4">
        <f t="shared" si="0"/>
        <v>1.538949999999994</v>
      </c>
      <c r="F15" t="s">
        <v>7</v>
      </c>
      <c r="G15">
        <v>1.5951833333333301</v>
      </c>
      <c r="H15">
        <v>0.69618333333333005</v>
      </c>
    </row>
    <row r="16" spans="1:8" x14ac:dyDescent="0.2">
      <c r="A16" s="1">
        <v>43313.791666666664</v>
      </c>
      <c r="B16">
        <v>974</v>
      </c>
      <c r="C16" s="3">
        <v>0.44011666666666599</v>
      </c>
      <c r="D16" s="2">
        <v>3.5412833333333298</v>
      </c>
      <c r="E16" s="4">
        <f t="shared" si="0"/>
        <v>3.1011666666666637</v>
      </c>
      <c r="F16" t="s">
        <v>7</v>
      </c>
      <c r="G16">
        <v>2.126099999999993</v>
      </c>
      <c r="H16">
        <v>1.4151833333333368</v>
      </c>
    </row>
    <row r="17" spans="1:8" x14ac:dyDescent="0.2">
      <c r="A17" s="1">
        <v>43313.791666666664</v>
      </c>
      <c r="B17">
        <v>1192</v>
      </c>
      <c r="C17" s="3">
        <v>0.91341666666666599</v>
      </c>
      <c r="D17" s="2">
        <v>2.9738000000000002</v>
      </c>
      <c r="E17" s="4">
        <f t="shared" si="0"/>
        <v>2.0603833333333341</v>
      </c>
      <c r="F17" t="s">
        <v>7</v>
      </c>
      <c r="G17">
        <v>2.1846333333333332</v>
      </c>
      <c r="H17">
        <v>0.78916666666666702</v>
      </c>
    </row>
    <row r="18" spans="1:8" x14ac:dyDescent="0.2">
      <c r="A18" s="1">
        <v>43313.791666666664</v>
      </c>
      <c r="B18">
        <v>1354</v>
      </c>
      <c r="C18" s="3">
        <v>0.14760000000000001</v>
      </c>
      <c r="D18" s="2">
        <v>2.8376000000000001</v>
      </c>
      <c r="E18" s="4">
        <f t="shared" si="0"/>
        <v>2.69</v>
      </c>
      <c r="F18" t="s">
        <v>7</v>
      </c>
      <c r="G18">
        <v>2.0950666666666669</v>
      </c>
      <c r="H18">
        <v>0.74253333333333327</v>
      </c>
    </row>
    <row r="19" spans="1:8" x14ac:dyDescent="0.2">
      <c r="A19" s="1">
        <v>43313.791666666664</v>
      </c>
      <c r="B19">
        <v>1714</v>
      </c>
      <c r="C19" s="3">
        <v>5.7683333333333302E-2</v>
      </c>
      <c r="D19" s="2">
        <v>3.8774000000000002</v>
      </c>
      <c r="E19" s="4">
        <f t="shared" si="0"/>
        <v>3.8197166666666669</v>
      </c>
      <c r="F19" t="s">
        <v>7</v>
      </c>
      <c r="G19">
        <v>3.0582500000000001</v>
      </c>
      <c r="H19">
        <v>0.81915000000000004</v>
      </c>
    </row>
    <row r="20" spans="1:8" x14ac:dyDescent="0.2">
      <c r="A20" s="1">
        <v>43313.791666666664</v>
      </c>
      <c r="B20">
        <v>1800</v>
      </c>
      <c r="C20" s="3">
        <v>0.6552</v>
      </c>
      <c r="D20" s="2">
        <v>4.3570333333333302</v>
      </c>
      <c r="E20" s="4">
        <f t="shared" si="0"/>
        <v>3.7018333333333304</v>
      </c>
      <c r="F20" t="s">
        <v>7</v>
      </c>
      <c r="G20">
        <v>2.5699333333333301</v>
      </c>
      <c r="H20">
        <v>1.7871000000000001</v>
      </c>
    </row>
    <row r="21" spans="1:8" x14ac:dyDescent="0.2">
      <c r="A21" s="1">
        <v>43313.791666666664</v>
      </c>
      <c r="B21">
        <v>2129</v>
      </c>
      <c r="C21" s="3">
        <v>0.40875</v>
      </c>
      <c r="D21" s="2">
        <v>2.7453333333333299</v>
      </c>
      <c r="E21" s="4">
        <f t="shared" si="0"/>
        <v>2.3365833333333299</v>
      </c>
      <c r="F21" t="s">
        <v>7</v>
      </c>
      <c r="G21">
        <v>1.6371166666666599</v>
      </c>
      <c r="H21">
        <v>1.10821666666667</v>
      </c>
    </row>
    <row r="22" spans="1:8" x14ac:dyDescent="0.2">
      <c r="A22" s="1">
        <v>43313.791666666664</v>
      </c>
      <c r="B22">
        <v>59</v>
      </c>
      <c r="C22" s="3">
        <v>0</v>
      </c>
      <c r="D22" s="2">
        <v>3.7478166666666599</v>
      </c>
      <c r="E22" s="4">
        <f t="shared" ref="E22:E64" si="1">D22-C22</f>
        <v>3.7478166666666599</v>
      </c>
      <c r="F22" t="s">
        <v>8</v>
      </c>
      <c r="G22">
        <v>2.7187333333333332</v>
      </c>
      <c r="H22">
        <v>1.0290833333333267</v>
      </c>
    </row>
    <row r="23" spans="1:8" x14ac:dyDescent="0.2">
      <c r="A23" s="1">
        <v>43313.791666666664</v>
      </c>
      <c r="B23">
        <v>86</v>
      </c>
      <c r="C23" s="3">
        <v>0</v>
      </c>
      <c r="D23" s="2">
        <v>4.7330333333333297</v>
      </c>
      <c r="E23" s="4">
        <f t="shared" si="1"/>
        <v>4.7330333333333297</v>
      </c>
      <c r="F23" t="s">
        <v>8</v>
      </c>
      <c r="G23">
        <v>2.5916333333333301</v>
      </c>
      <c r="H23">
        <v>2.1413999999999995</v>
      </c>
    </row>
    <row r="24" spans="1:8" x14ac:dyDescent="0.2">
      <c r="A24" s="1">
        <v>43313.791666666664</v>
      </c>
      <c r="B24">
        <v>94</v>
      </c>
      <c r="C24" s="3">
        <v>0</v>
      </c>
      <c r="D24" s="2">
        <v>1.23725</v>
      </c>
      <c r="E24" s="4">
        <f t="shared" si="1"/>
        <v>1.23725</v>
      </c>
      <c r="F24" t="s">
        <v>8</v>
      </c>
      <c r="G24">
        <v>0.39388333333333297</v>
      </c>
      <c r="H24">
        <v>0.84336666666666704</v>
      </c>
    </row>
    <row r="25" spans="1:8" x14ac:dyDescent="0.2">
      <c r="A25" s="1">
        <v>43313.791666666664</v>
      </c>
      <c r="B25">
        <v>115</v>
      </c>
      <c r="C25" s="3">
        <v>0</v>
      </c>
      <c r="D25" s="2">
        <v>1.98331666666666</v>
      </c>
      <c r="E25" s="4">
        <f t="shared" si="1"/>
        <v>1.98331666666666</v>
      </c>
      <c r="F25" t="s">
        <v>8</v>
      </c>
      <c r="G25">
        <v>0.92011666666666603</v>
      </c>
      <c r="H25">
        <v>1.0631999999999939</v>
      </c>
    </row>
    <row r="26" spans="1:8" x14ac:dyDescent="0.2">
      <c r="A26" s="1">
        <v>43313.791666666664</v>
      </c>
      <c r="B26">
        <v>503</v>
      </c>
      <c r="C26" s="3">
        <v>0</v>
      </c>
      <c r="D26" s="2">
        <v>5.1550833333333301</v>
      </c>
      <c r="E26" s="4">
        <f t="shared" si="1"/>
        <v>5.1550833333333301</v>
      </c>
      <c r="F26" t="s">
        <v>8</v>
      </c>
      <c r="G26">
        <v>3.3785666666666563</v>
      </c>
      <c r="H26">
        <v>1.7765166666666738</v>
      </c>
    </row>
    <row r="27" spans="1:8" x14ac:dyDescent="0.2">
      <c r="A27" s="1">
        <v>43313.791666666664</v>
      </c>
      <c r="B27">
        <v>621</v>
      </c>
      <c r="C27" s="3">
        <v>0</v>
      </c>
      <c r="D27" s="2">
        <v>1.36188333333333</v>
      </c>
      <c r="E27" s="4">
        <f t="shared" si="1"/>
        <v>1.36188333333333</v>
      </c>
      <c r="F27" t="s">
        <v>8</v>
      </c>
      <c r="G27">
        <v>0.50149999999999995</v>
      </c>
      <c r="H27">
        <v>0.86038333333333006</v>
      </c>
    </row>
    <row r="28" spans="1:8" x14ac:dyDescent="0.2">
      <c r="A28" s="1">
        <v>43313.791666666664</v>
      </c>
      <c r="B28">
        <v>871</v>
      </c>
      <c r="C28" s="3">
        <v>0</v>
      </c>
      <c r="D28" s="2">
        <v>3.5574833333333298</v>
      </c>
      <c r="E28" s="4">
        <f t="shared" si="1"/>
        <v>3.5574833333333298</v>
      </c>
      <c r="F28" t="s">
        <v>8</v>
      </c>
      <c r="G28">
        <v>1.3391999999999999</v>
      </c>
      <c r="H28">
        <v>2.2182833333333298</v>
      </c>
    </row>
    <row r="29" spans="1:8" x14ac:dyDescent="0.2">
      <c r="A29" s="1">
        <v>43313.791666666664</v>
      </c>
      <c r="B29">
        <v>930</v>
      </c>
      <c r="C29" s="3">
        <v>0</v>
      </c>
      <c r="D29" s="2">
        <v>3.6421999999999999</v>
      </c>
      <c r="E29" s="4">
        <f t="shared" si="1"/>
        <v>3.6421999999999999</v>
      </c>
      <c r="F29" t="s">
        <v>8</v>
      </c>
      <c r="G29">
        <v>1.5610166666666601</v>
      </c>
      <c r="H29">
        <v>2.0811833333333398</v>
      </c>
    </row>
    <row r="30" spans="1:8" x14ac:dyDescent="0.2">
      <c r="A30" s="1">
        <v>43313.791666666664</v>
      </c>
      <c r="B30">
        <v>946</v>
      </c>
      <c r="C30" s="3">
        <v>0</v>
      </c>
      <c r="D30" s="2">
        <v>2.0666166666666599</v>
      </c>
      <c r="E30" s="4">
        <f t="shared" si="1"/>
        <v>2.0666166666666599</v>
      </c>
      <c r="F30" t="s">
        <v>8</v>
      </c>
      <c r="G30">
        <v>1.2766999999999933</v>
      </c>
      <c r="H30">
        <v>0.7899166666666666</v>
      </c>
    </row>
    <row r="31" spans="1:8" x14ac:dyDescent="0.2">
      <c r="A31" s="1">
        <v>43313.791666666664</v>
      </c>
      <c r="B31">
        <v>994</v>
      </c>
      <c r="C31" s="3">
        <v>0</v>
      </c>
      <c r="D31" s="2">
        <v>1.8990833333333299</v>
      </c>
      <c r="E31" s="4">
        <f t="shared" si="1"/>
        <v>1.8990833333333299</v>
      </c>
      <c r="F31" t="s">
        <v>8</v>
      </c>
      <c r="G31">
        <v>1.300449999999999</v>
      </c>
      <c r="H31">
        <v>0.59863333333333091</v>
      </c>
    </row>
    <row r="32" spans="1:8" x14ac:dyDescent="0.2">
      <c r="A32" s="1">
        <v>43313.791666666664</v>
      </c>
      <c r="B32">
        <v>1086</v>
      </c>
      <c r="C32" s="3">
        <v>0</v>
      </c>
      <c r="D32" s="2">
        <v>2.14963333333333</v>
      </c>
      <c r="E32" s="4">
        <f t="shared" si="1"/>
        <v>2.14963333333333</v>
      </c>
      <c r="F32" t="s">
        <v>8</v>
      </c>
      <c r="G32">
        <v>1.1782666666666666</v>
      </c>
      <c r="H32">
        <v>0.97136666666666338</v>
      </c>
    </row>
    <row r="33" spans="1:8" x14ac:dyDescent="0.2">
      <c r="A33" s="1">
        <v>43313.791666666664</v>
      </c>
      <c r="B33">
        <v>1202</v>
      </c>
      <c r="C33" s="3">
        <v>0</v>
      </c>
      <c r="D33" s="2">
        <v>5.3171666666666599</v>
      </c>
      <c r="E33" s="4">
        <f t="shared" si="1"/>
        <v>5.3171666666666599</v>
      </c>
      <c r="F33" t="s">
        <v>8</v>
      </c>
      <c r="G33">
        <v>2.4415499999999959</v>
      </c>
      <c r="H33">
        <v>2.875616666666664</v>
      </c>
    </row>
    <row r="34" spans="1:8" x14ac:dyDescent="0.2">
      <c r="A34" s="1">
        <v>43313.791666666664</v>
      </c>
      <c r="B34">
        <v>1334</v>
      </c>
      <c r="C34" s="3">
        <v>0</v>
      </c>
      <c r="D34" s="2">
        <v>1.73091666666666</v>
      </c>
      <c r="E34" s="4">
        <f t="shared" si="1"/>
        <v>1.73091666666666</v>
      </c>
      <c r="F34" t="s">
        <v>8</v>
      </c>
      <c r="G34">
        <v>1.24938333333333</v>
      </c>
      <c r="H34">
        <v>0.48153333333333004</v>
      </c>
    </row>
    <row r="35" spans="1:8" x14ac:dyDescent="0.2">
      <c r="A35" s="1">
        <v>43313.791666666664</v>
      </c>
      <c r="B35">
        <v>1500</v>
      </c>
      <c r="C35" s="3">
        <v>0</v>
      </c>
      <c r="D35" s="2">
        <v>2.1705000000000001</v>
      </c>
      <c r="E35" s="4">
        <f t="shared" si="1"/>
        <v>2.1705000000000001</v>
      </c>
      <c r="F35" t="s">
        <v>8</v>
      </c>
      <c r="G35">
        <v>1.20946666666666</v>
      </c>
      <c r="H35">
        <v>0.96103333333334007</v>
      </c>
    </row>
    <row r="36" spans="1:8" x14ac:dyDescent="0.2">
      <c r="A36" s="1">
        <v>43313.791666666664</v>
      </c>
      <c r="B36">
        <v>1507</v>
      </c>
      <c r="C36" s="3">
        <v>0</v>
      </c>
      <c r="D36" s="2">
        <v>5.20088333333333</v>
      </c>
      <c r="E36" s="4">
        <f t="shared" si="1"/>
        <v>5.20088333333333</v>
      </c>
      <c r="F36" t="s">
        <v>8</v>
      </c>
      <c r="G36">
        <v>2.8952666666666635</v>
      </c>
      <c r="H36">
        <v>2.3056166666666664</v>
      </c>
    </row>
    <row r="37" spans="1:8" x14ac:dyDescent="0.2">
      <c r="A37" s="1">
        <v>43313.791666666664</v>
      </c>
      <c r="B37">
        <v>1796</v>
      </c>
      <c r="C37" s="3">
        <v>0</v>
      </c>
      <c r="D37" s="2">
        <v>2.1538499999999998</v>
      </c>
      <c r="E37" s="4">
        <f t="shared" si="1"/>
        <v>2.1538499999999998</v>
      </c>
      <c r="F37" t="s">
        <v>8</v>
      </c>
      <c r="G37">
        <v>1.6395166666666667</v>
      </c>
      <c r="H37">
        <v>0.51433333333333309</v>
      </c>
    </row>
    <row r="38" spans="1:8" x14ac:dyDescent="0.2">
      <c r="A38" s="1">
        <v>43313.791666666664</v>
      </c>
      <c r="B38">
        <v>2004</v>
      </c>
      <c r="C38" s="3">
        <v>0</v>
      </c>
      <c r="D38" s="2">
        <v>4.2614666666666601</v>
      </c>
      <c r="E38" s="4">
        <f t="shared" si="1"/>
        <v>4.2614666666666601</v>
      </c>
      <c r="F38" t="s">
        <v>8</v>
      </c>
      <c r="G38">
        <v>2.1235166666666601</v>
      </c>
      <c r="H38">
        <v>2.13795</v>
      </c>
    </row>
    <row r="39" spans="1:8" x14ac:dyDescent="0.2">
      <c r="A39" s="1">
        <v>43313.791666666664</v>
      </c>
      <c r="B39">
        <v>2034</v>
      </c>
      <c r="C39" s="3">
        <v>0</v>
      </c>
      <c r="D39" s="2">
        <v>4.9313666666666602</v>
      </c>
      <c r="E39" s="4">
        <f t="shared" si="1"/>
        <v>4.9313666666666602</v>
      </c>
      <c r="F39" t="s">
        <v>8</v>
      </c>
      <c r="G39">
        <v>2.56331666666666</v>
      </c>
      <c r="H39">
        <v>2.3680500000000002</v>
      </c>
    </row>
    <row r="40" spans="1:8" x14ac:dyDescent="0.2">
      <c r="A40" s="1">
        <v>43313.791666666664</v>
      </c>
      <c r="B40">
        <v>2158</v>
      </c>
      <c r="C40" s="3">
        <v>0</v>
      </c>
      <c r="D40" s="2">
        <v>3.05125</v>
      </c>
      <c r="E40" s="4">
        <f t="shared" si="1"/>
        <v>3.05125</v>
      </c>
      <c r="F40" t="s">
        <v>8</v>
      </c>
      <c r="G40">
        <v>2.0882166666666602</v>
      </c>
      <c r="H40">
        <v>0.96303333333333985</v>
      </c>
    </row>
    <row r="41" spans="1:8" x14ac:dyDescent="0.2">
      <c r="A41" s="1">
        <v>43313.791666666664</v>
      </c>
      <c r="B41">
        <v>2378</v>
      </c>
      <c r="C41" s="3">
        <v>0</v>
      </c>
      <c r="D41" s="2">
        <v>0.32884999999999998</v>
      </c>
      <c r="E41" s="4">
        <f t="shared" si="1"/>
        <v>0.32884999999999998</v>
      </c>
      <c r="F41" t="s">
        <v>8</v>
      </c>
      <c r="G41" s="6">
        <v>1E-4</v>
      </c>
      <c r="H41">
        <v>0.32884999999999998</v>
      </c>
    </row>
    <row r="42" spans="1:8" x14ac:dyDescent="0.2">
      <c r="A42" s="1">
        <v>43313.791666666664</v>
      </c>
      <c r="B42">
        <v>2472</v>
      </c>
      <c r="C42" s="3">
        <v>0</v>
      </c>
      <c r="D42" s="2">
        <v>3.1293333333333302</v>
      </c>
      <c r="E42" s="4">
        <f t="shared" si="1"/>
        <v>3.1293333333333302</v>
      </c>
      <c r="F42" t="s">
        <v>8</v>
      </c>
      <c r="G42">
        <v>2.2997666666666601</v>
      </c>
      <c r="H42">
        <v>0.82956666666667012</v>
      </c>
    </row>
    <row r="43" spans="1:8" x14ac:dyDescent="0.2">
      <c r="A43" s="1">
        <v>43313.791666666664</v>
      </c>
      <c r="B43">
        <v>2859</v>
      </c>
      <c r="C43" s="3">
        <v>0</v>
      </c>
      <c r="D43" s="2">
        <v>1.2862499999999999</v>
      </c>
      <c r="E43" s="4">
        <f t="shared" si="1"/>
        <v>1.2862499999999999</v>
      </c>
      <c r="F43" t="s">
        <v>8</v>
      </c>
      <c r="G43">
        <v>0.74083333333333301</v>
      </c>
      <c r="H43">
        <v>0.54541666666666688</v>
      </c>
    </row>
    <row r="44" spans="1:8" x14ac:dyDescent="0.2">
      <c r="A44" s="1">
        <v>43313.791666666664</v>
      </c>
      <c r="B44">
        <v>2953</v>
      </c>
      <c r="C44" s="3">
        <v>0</v>
      </c>
      <c r="D44" s="2">
        <v>1.49668333333333</v>
      </c>
      <c r="E44" s="4">
        <f t="shared" si="1"/>
        <v>1.49668333333333</v>
      </c>
      <c r="F44" t="s">
        <v>8</v>
      </c>
      <c r="G44">
        <v>1.0779666666666601</v>
      </c>
      <c r="H44">
        <v>0.41871666666666996</v>
      </c>
    </row>
    <row r="45" spans="1:8" x14ac:dyDescent="0.2">
      <c r="A45" s="1">
        <v>43313.791666666664</v>
      </c>
      <c r="B45">
        <v>3273</v>
      </c>
      <c r="C45" s="3">
        <v>0</v>
      </c>
      <c r="D45" s="2">
        <v>1.0571666666666599</v>
      </c>
      <c r="E45" s="4">
        <f t="shared" si="1"/>
        <v>1.0571666666666599</v>
      </c>
      <c r="F45" t="s">
        <v>8</v>
      </c>
      <c r="G45">
        <v>0.74119999999999997</v>
      </c>
      <c r="H45">
        <v>0.31596666666665996</v>
      </c>
    </row>
    <row r="46" spans="1:8" x14ac:dyDescent="0.2">
      <c r="A46" s="1">
        <v>43313.791666666664</v>
      </c>
      <c r="B46">
        <v>3401</v>
      </c>
      <c r="C46" s="3">
        <v>0</v>
      </c>
      <c r="D46" s="2">
        <v>7.2225000000000001</v>
      </c>
      <c r="E46" s="4">
        <f t="shared" si="1"/>
        <v>7.2225000000000001</v>
      </c>
      <c r="F46" t="s">
        <v>8</v>
      </c>
      <c r="G46">
        <v>2.5395333333333299</v>
      </c>
      <c r="H46">
        <v>4.6829666666666707</v>
      </c>
    </row>
    <row r="47" spans="1:8" x14ac:dyDescent="0.2">
      <c r="A47" s="1">
        <v>43313.791666666664</v>
      </c>
      <c r="B47">
        <v>3778</v>
      </c>
      <c r="C47" s="3">
        <v>0</v>
      </c>
      <c r="D47" s="2">
        <v>2.41868333333333</v>
      </c>
      <c r="E47" s="4">
        <f t="shared" si="1"/>
        <v>2.41868333333333</v>
      </c>
      <c r="F47" t="s">
        <v>8</v>
      </c>
      <c r="G47">
        <v>1.1812499999999999</v>
      </c>
      <c r="H47">
        <v>1.2374333333333301</v>
      </c>
    </row>
    <row r="48" spans="1:8" x14ac:dyDescent="0.2">
      <c r="A48" s="1">
        <v>43313.791666666664</v>
      </c>
      <c r="B48">
        <v>3831</v>
      </c>
      <c r="C48" s="3">
        <v>0</v>
      </c>
      <c r="D48" s="2">
        <v>2.5558000000000001</v>
      </c>
      <c r="E48" s="4">
        <f t="shared" si="1"/>
        <v>2.5558000000000001</v>
      </c>
      <c r="F48" t="s">
        <v>8</v>
      </c>
      <c r="G48">
        <v>1.88526666666666</v>
      </c>
      <c r="H48">
        <v>0.67053333333334009</v>
      </c>
    </row>
    <row r="49" spans="1:8" x14ac:dyDescent="0.2">
      <c r="A49" s="1">
        <v>43313.791666666664</v>
      </c>
      <c r="B49">
        <v>3893</v>
      </c>
      <c r="C49" s="3">
        <v>0</v>
      </c>
      <c r="D49" s="2">
        <v>2.7540833333333299</v>
      </c>
      <c r="E49" s="4">
        <f t="shared" si="1"/>
        <v>2.7540833333333299</v>
      </c>
      <c r="F49" t="s">
        <v>8</v>
      </c>
      <c r="G49">
        <v>1.29233333333333</v>
      </c>
      <c r="H49">
        <v>1.4617499999999999</v>
      </c>
    </row>
    <row r="50" spans="1:8" x14ac:dyDescent="0.2">
      <c r="A50" s="1">
        <v>43313.791666666664</v>
      </c>
      <c r="B50">
        <v>4213</v>
      </c>
      <c r="C50" s="3">
        <v>0</v>
      </c>
      <c r="D50" s="2">
        <v>1.6006833333333299</v>
      </c>
      <c r="E50" s="4">
        <f t="shared" si="1"/>
        <v>1.6006833333333299</v>
      </c>
      <c r="F50" t="s">
        <v>8</v>
      </c>
      <c r="G50">
        <v>1.0987500000000001</v>
      </c>
      <c r="H50">
        <v>0.50193333333332979</v>
      </c>
    </row>
    <row r="51" spans="1:8" x14ac:dyDescent="0.2">
      <c r="A51" s="1">
        <v>43313.791666666664</v>
      </c>
      <c r="B51">
        <v>4298</v>
      </c>
      <c r="C51" s="3">
        <v>0</v>
      </c>
      <c r="D51" s="2">
        <v>2.4357833333333301</v>
      </c>
      <c r="E51" s="4">
        <f t="shared" si="1"/>
        <v>2.4357833333333301</v>
      </c>
      <c r="F51" t="s">
        <v>8</v>
      </c>
      <c r="G51">
        <v>1.7741</v>
      </c>
      <c r="H51">
        <v>0.66168333333333007</v>
      </c>
    </row>
    <row r="52" spans="1:8" x14ac:dyDescent="0.2">
      <c r="A52" s="1">
        <v>43313.791666666664</v>
      </c>
      <c r="B52">
        <v>370</v>
      </c>
      <c r="C52" s="3" t="e">
        <f t="array" ref="C52">VLOOKUP(A52&amp;B52,IF({1,0},#REF!&amp;#REF!,#REF!),2,FALSE)</f>
        <v>#N/A</v>
      </c>
      <c r="D52" s="3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3.1325666666666598</v>
      </c>
      <c r="H52">
        <v>1.1437000000000004</v>
      </c>
    </row>
    <row r="53" spans="1:8" x14ac:dyDescent="0.2">
      <c r="A53" s="1">
        <v>43313.791666666664</v>
      </c>
      <c r="B53">
        <v>2638</v>
      </c>
      <c r="C53" s="3" t="e">
        <f t="array" ref="C53">VLOOKUP(A53&amp;B53,IF({1,0},#REF!&amp;#REF!,#REF!),2,FALSE)</f>
        <v>#N/A</v>
      </c>
      <c r="D53" s="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1.66123333333333</v>
      </c>
      <c r="H53">
        <v>0.90943333333333021</v>
      </c>
    </row>
    <row r="54" spans="1:8" x14ac:dyDescent="0.2">
      <c r="A54" s="1">
        <v>43313.791666666664</v>
      </c>
      <c r="B54">
        <v>3482</v>
      </c>
      <c r="C54" s="3" t="e">
        <f t="array" ref="C54">VLOOKUP(A54&amp;B54,IF({1,0},#REF!&amp;#REF!,#REF!),2,FALSE)</f>
        <v>#N/A</v>
      </c>
      <c r="D54" s="3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0.58214999999999995</v>
      </c>
      <c r="H54">
        <v>0.41736666666666611</v>
      </c>
    </row>
    <row r="55" spans="1:8" x14ac:dyDescent="0.2">
      <c r="A55" s="1">
        <v>43313.791666666664</v>
      </c>
      <c r="B55">
        <v>3723</v>
      </c>
      <c r="C55" s="3" t="e">
        <f t="array" ref="C55">VLOOKUP(A55&amp;B55,IF({1,0},#REF!&amp;#REF!,#REF!),2,FALSE)</f>
        <v>#N/A</v>
      </c>
      <c r="D55" s="3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2.0940499999999962</v>
      </c>
      <c r="H55">
        <v>1.510916666666664</v>
      </c>
    </row>
    <row r="56" spans="1:8" x14ac:dyDescent="0.2">
      <c r="A56" s="1">
        <v>43313.791666666664</v>
      </c>
      <c r="B56">
        <v>3967</v>
      </c>
      <c r="C56" s="3" t="e">
        <f t="array" ref="C56">VLOOKUP(A56&amp;B56,IF({1,0},#REF!&amp;#REF!,#REF!),2,FALSE)</f>
        <v>#N/A</v>
      </c>
      <c r="D56" s="3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2.737999999999996</v>
      </c>
      <c r="H56">
        <v>1.176516666666664</v>
      </c>
    </row>
    <row r="57" spans="1:8" x14ac:dyDescent="0.2">
      <c r="A57" s="1">
        <v>43313.791666666664</v>
      </c>
      <c r="B57">
        <v>4998</v>
      </c>
      <c r="C57" s="3" t="e">
        <f t="array" ref="C57">VLOOKUP(A57&amp;B57,IF({1,0},#REF!&amp;#REF!,#REF!),2,FALSE)</f>
        <v>#N/A</v>
      </c>
      <c r="D57" s="3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1.5324833333333301</v>
      </c>
      <c r="H57">
        <v>0.96223333333332994</v>
      </c>
    </row>
    <row r="58" spans="1:8" x14ac:dyDescent="0.2">
      <c r="A58" s="1">
        <v>43313.791666666664</v>
      </c>
      <c r="B58">
        <v>5749</v>
      </c>
      <c r="C58" s="3" t="e">
        <f t="array" ref="C58">VLOOKUP(A58&amp;B58,IF({1,0},#REF!&amp;#REF!,#REF!),2,FALSE)</f>
        <v>#N/A</v>
      </c>
      <c r="D58" s="3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2.7130333333333261</v>
      </c>
      <c r="H58">
        <v>1.7038000000000042</v>
      </c>
    </row>
    <row r="59" spans="1:8" x14ac:dyDescent="0.2">
      <c r="A59" s="1">
        <v>43313.791666666664</v>
      </c>
      <c r="B59">
        <v>6248</v>
      </c>
      <c r="C59" s="3" t="e">
        <f t="array" ref="C59">VLOOKUP(A59&amp;B59,IF({1,0},#REF!&amp;#REF!,#REF!),2,FALSE)</f>
        <v>#N/A</v>
      </c>
      <c r="D59" s="3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2.0092833333333262</v>
      </c>
      <c r="H59">
        <v>0.93903333333333361</v>
      </c>
    </row>
    <row r="60" spans="1:8" x14ac:dyDescent="0.2">
      <c r="A60" s="1">
        <v>43313.791666666664</v>
      </c>
      <c r="B60">
        <v>6691</v>
      </c>
      <c r="C60" s="3" t="e">
        <f t="array" ref="C60">VLOOKUP(A60&amp;B60,IF({1,0},#REF!&amp;#REF!,#REF!),2,FALSE)</f>
        <v>#N/A</v>
      </c>
      <c r="D60" s="3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2.5468333333333302</v>
      </c>
      <c r="H60">
        <v>1.3666833333333299</v>
      </c>
    </row>
    <row r="61" spans="1:8" x14ac:dyDescent="0.2">
      <c r="A61" s="1">
        <v>43313.791666666664</v>
      </c>
      <c r="B61">
        <v>7024</v>
      </c>
      <c r="C61" s="3" t="e">
        <f t="array" ref="C61">VLOOKUP(A61&amp;B61,IF({1,0},#REF!&amp;#REF!,#REF!),2,FALSE)</f>
        <v>#N/A</v>
      </c>
      <c r="D61" s="3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1.65025</v>
      </c>
      <c r="H61">
        <v>0.7390333333333301</v>
      </c>
    </row>
    <row r="62" spans="1:8" x14ac:dyDescent="0.2">
      <c r="A62" s="1">
        <v>43313.791666666664</v>
      </c>
      <c r="B62">
        <v>7875</v>
      </c>
      <c r="C62" s="3" t="e">
        <f t="array" ref="C62">VLOOKUP(A62&amp;B62,IF({1,0},#REF!&amp;#REF!,#REF!),2,FALSE)</f>
        <v>#N/A</v>
      </c>
      <c r="D62" s="3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7.8578999999999892</v>
      </c>
      <c r="H62">
        <v>0.52240000000001086</v>
      </c>
    </row>
    <row r="63" spans="1:8" x14ac:dyDescent="0.2">
      <c r="A63" s="1">
        <v>43313.791666666664</v>
      </c>
      <c r="B63">
        <v>8236</v>
      </c>
      <c r="C63" s="3" t="e">
        <f t="array" ref="C63">VLOOKUP(A63&amp;B63,IF({1,0},#REF!&amp;#REF!,#REF!),2,FALSE)</f>
        <v>#N/A</v>
      </c>
      <c r="D63" s="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3.9484666666666604</v>
      </c>
      <c r="H63">
        <v>0.97279999999999944</v>
      </c>
    </row>
    <row r="64" spans="1:8" x14ac:dyDescent="0.2">
      <c r="A64" s="1">
        <v>43313.791666666664</v>
      </c>
      <c r="B64">
        <v>8645</v>
      </c>
      <c r="C64" s="3" t="e">
        <f t="array" ref="C64">VLOOKUP(A64&amp;B64,IF({1,0},#REF!&amp;#REF!,#REF!),2,FALSE)</f>
        <v>#N/A</v>
      </c>
      <c r="D64" s="3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1.6391525423728801</v>
      </c>
      <c r="H64">
        <v>0.14705084745761998</v>
      </c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BDDF8-AED2-934A-825F-FD32FE2ED36B}">
  <dimension ref="A1:H17111"/>
  <sheetViews>
    <sheetView topLeftCell="A30" zoomScale="173" workbookViewId="0">
      <selection activeCell="B40" sqref="B40"/>
    </sheetView>
  </sheetViews>
  <sheetFormatPr baseColWidth="10" defaultRowHeight="16" x14ac:dyDescent="0.2"/>
  <cols>
    <col min="1" max="1" width="17.1640625" customWidth="1"/>
    <col min="2" max="2" width="19.1640625" customWidth="1"/>
    <col min="3" max="3" width="19" customWidth="1"/>
    <col min="4" max="4" width="19.83203125" customWidth="1"/>
    <col min="5" max="5" width="19.83203125" style="4" customWidth="1"/>
    <col min="6" max="6" width="17.1640625" customWidth="1"/>
  </cols>
  <sheetData>
    <row r="1" spans="1:8" x14ac:dyDescent="0.2">
      <c r="A1" t="s">
        <v>5</v>
      </c>
      <c r="B1" t="s">
        <v>1</v>
      </c>
      <c r="C1" t="s">
        <v>3</v>
      </c>
      <c r="D1" t="s">
        <v>2</v>
      </c>
      <c r="E1" s="4" t="s">
        <v>9</v>
      </c>
      <c r="F1" t="s">
        <v>4</v>
      </c>
      <c r="G1" t="s">
        <v>13</v>
      </c>
      <c r="H1" t="s">
        <v>14</v>
      </c>
    </row>
    <row r="2" spans="1:8" x14ac:dyDescent="0.2">
      <c r="A2" s="1">
        <v>43313.833333333336</v>
      </c>
      <c r="B2">
        <v>252</v>
      </c>
      <c r="C2" s="3">
        <v>0</v>
      </c>
      <c r="D2" s="2">
        <v>6.2555500000000004</v>
      </c>
      <c r="E2" s="4">
        <f>D2-C2</f>
        <v>6.2555500000000004</v>
      </c>
      <c r="F2" t="s">
        <v>6</v>
      </c>
      <c r="G2" s="6">
        <v>1E-4</v>
      </c>
      <c r="H2">
        <v>6.2555500000000004</v>
      </c>
    </row>
    <row r="3" spans="1:8" x14ac:dyDescent="0.2">
      <c r="A3" s="1">
        <v>43313.833333333336</v>
      </c>
      <c r="B3">
        <v>379</v>
      </c>
      <c r="C3" s="3">
        <v>0</v>
      </c>
      <c r="D3" s="2">
        <v>4.0116833333333304</v>
      </c>
      <c r="E3" s="4">
        <f t="shared" ref="E3:E21" si="0">D3-C3</f>
        <v>4.0116833333333304</v>
      </c>
      <c r="F3" t="s">
        <v>6</v>
      </c>
      <c r="G3">
        <v>2.685516666666663</v>
      </c>
      <c r="H3">
        <v>1.3261666666666674</v>
      </c>
    </row>
    <row r="4" spans="1:8" x14ac:dyDescent="0.2">
      <c r="A4" s="1">
        <v>43313.833333333336</v>
      </c>
      <c r="B4">
        <v>434</v>
      </c>
      <c r="C4" s="3">
        <v>0</v>
      </c>
      <c r="D4" s="2">
        <v>4.2179166666666603</v>
      </c>
      <c r="E4" s="4">
        <f t="shared" si="0"/>
        <v>4.2179166666666603</v>
      </c>
      <c r="F4" t="s">
        <v>6</v>
      </c>
      <c r="G4">
        <v>3.0901999999999932</v>
      </c>
      <c r="H4">
        <v>1.1277166666666671</v>
      </c>
    </row>
    <row r="5" spans="1:8" x14ac:dyDescent="0.2">
      <c r="A5" s="1">
        <v>43313.833333333336</v>
      </c>
      <c r="B5">
        <v>1718</v>
      </c>
      <c r="C5" s="3">
        <v>0</v>
      </c>
      <c r="D5" s="2">
        <v>5.6822333333333299</v>
      </c>
      <c r="E5" s="4">
        <f t="shared" si="0"/>
        <v>5.6822333333333299</v>
      </c>
      <c r="F5" t="s">
        <v>6</v>
      </c>
      <c r="G5" s="6">
        <v>1E-4</v>
      </c>
      <c r="H5">
        <v>5.6822333333333299</v>
      </c>
    </row>
    <row r="6" spans="1:8" x14ac:dyDescent="0.2">
      <c r="A6" s="1">
        <v>43313.833333333336</v>
      </c>
      <c r="B6">
        <v>1792</v>
      </c>
      <c r="C6" s="3">
        <v>0</v>
      </c>
      <c r="D6" s="2">
        <v>4.0883500000000002</v>
      </c>
      <c r="E6" s="4">
        <f t="shared" si="0"/>
        <v>4.0883500000000002</v>
      </c>
      <c r="F6" t="s">
        <v>6</v>
      </c>
      <c r="G6" s="6">
        <v>1E-4</v>
      </c>
      <c r="H6">
        <v>4.0883500000000002</v>
      </c>
    </row>
    <row r="7" spans="1:8" x14ac:dyDescent="0.2">
      <c r="A7" s="1">
        <v>43313.833333333336</v>
      </c>
      <c r="B7">
        <v>2925</v>
      </c>
      <c r="C7" s="3">
        <v>0</v>
      </c>
      <c r="D7" s="2">
        <v>4.6462500000000002</v>
      </c>
      <c r="E7" s="4">
        <f t="shared" si="0"/>
        <v>4.6462500000000002</v>
      </c>
      <c r="F7" t="s">
        <v>6</v>
      </c>
      <c r="G7" s="6">
        <v>1E-4</v>
      </c>
      <c r="H7">
        <v>4.6462500000000002</v>
      </c>
    </row>
    <row r="8" spans="1:8" x14ac:dyDescent="0.2">
      <c r="A8" s="1">
        <v>43313.833333333336</v>
      </c>
      <c r="B8">
        <v>3649</v>
      </c>
      <c r="C8" s="3">
        <v>0</v>
      </c>
      <c r="D8" s="2">
        <v>5.1234500000000001</v>
      </c>
      <c r="E8" s="4">
        <f t="shared" si="0"/>
        <v>5.1234500000000001</v>
      </c>
      <c r="F8" t="s">
        <v>6</v>
      </c>
      <c r="G8">
        <v>3.5258333333333298</v>
      </c>
      <c r="H8">
        <v>1.5976166666666702</v>
      </c>
    </row>
    <row r="9" spans="1:8" x14ac:dyDescent="0.2">
      <c r="A9" s="1">
        <v>43313.833333333336</v>
      </c>
      <c r="B9">
        <v>4357</v>
      </c>
      <c r="C9" s="3">
        <v>0</v>
      </c>
      <c r="D9" s="2">
        <v>2.7622833333333299</v>
      </c>
      <c r="E9" s="4">
        <f t="shared" si="0"/>
        <v>2.7622833333333299</v>
      </c>
      <c r="F9" t="s">
        <v>6</v>
      </c>
      <c r="G9">
        <v>1.19688333333333</v>
      </c>
      <c r="H9">
        <v>1.5653999999999999</v>
      </c>
    </row>
    <row r="10" spans="1:8" x14ac:dyDescent="0.2">
      <c r="A10" s="1">
        <v>43313.833333333336</v>
      </c>
      <c r="B10">
        <v>4874</v>
      </c>
      <c r="C10" s="3">
        <v>0</v>
      </c>
      <c r="D10" s="2">
        <v>3.9485166666666598</v>
      </c>
      <c r="E10" s="4">
        <f t="shared" si="0"/>
        <v>3.9485166666666598</v>
      </c>
      <c r="F10" t="s">
        <v>6</v>
      </c>
      <c r="G10">
        <v>2.2533499999999935</v>
      </c>
      <c r="H10">
        <v>1.6951666666666663</v>
      </c>
    </row>
    <row r="11" spans="1:8" x14ac:dyDescent="0.2">
      <c r="A11" s="1">
        <v>43313.833333333336</v>
      </c>
      <c r="B11">
        <v>5035</v>
      </c>
      <c r="C11" s="3">
        <v>0</v>
      </c>
      <c r="D11" s="2">
        <v>3.7309000000000001</v>
      </c>
      <c r="E11" s="4">
        <f t="shared" si="0"/>
        <v>3.7309000000000001</v>
      </c>
      <c r="F11" t="s">
        <v>6</v>
      </c>
      <c r="G11" s="6">
        <v>1E-4</v>
      </c>
      <c r="H11">
        <v>3.7309000000000001</v>
      </c>
    </row>
    <row r="12" spans="1:8" x14ac:dyDescent="0.2">
      <c r="A12" s="1">
        <v>43313.833333333336</v>
      </c>
      <c r="B12">
        <v>93</v>
      </c>
      <c r="C12" s="3">
        <v>0</v>
      </c>
      <c r="D12" s="2">
        <v>4.3166166666666603</v>
      </c>
      <c r="E12" s="4">
        <f t="shared" si="0"/>
        <v>4.3166166666666603</v>
      </c>
      <c r="F12" t="s">
        <v>7</v>
      </c>
      <c r="G12">
        <v>3.1613500000000001</v>
      </c>
      <c r="H12">
        <v>1.1552666666666602</v>
      </c>
    </row>
    <row r="13" spans="1:8" x14ac:dyDescent="0.2">
      <c r="A13" s="1">
        <v>43313.833333333336</v>
      </c>
      <c r="B13">
        <v>171</v>
      </c>
      <c r="C13" s="3">
        <v>0</v>
      </c>
      <c r="D13" s="2">
        <v>2.2666666666666599</v>
      </c>
      <c r="E13" s="4">
        <f t="shared" si="0"/>
        <v>2.2666666666666599</v>
      </c>
      <c r="F13" t="s">
        <v>7</v>
      </c>
      <c r="G13" s="6">
        <v>1E-4</v>
      </c>
      <c r="H13">
        <v>2.2666666666666599</v>
      </c>
    </row>
    <row r="14" spans="1:8" x14ac:dyDescent="0.2">
      <c r="A14" s="1">
        <v>43313.833333333336</v>
      </c>
      <c r="B14">
        <v>668</v>
      </c>
      <c r="C14" s="3">
        <v>0</v>
      </c>
      <c r="D14" s="2">
        <v>2.9929666666666601</v>
      </c>
      <c r="E14" s="4">
        <f t="shared" si="0"/>
        <v>2.9929666666666601</v>
      </c>
      <c r="F14" t="s">
        <v>7</v>
      </c>
      <c r="G14">
        <v>1.6905999999999968</v>
      </c>
      <c r="H14">
        <v>1.3023666666666633</v>
      </c>
    </row>
    <row r="15" spans="1:8" x14ac:dyDescent="0.2">
      <c r="A15" s="1">
        <v>43313.833333333336</v>
      </c>
      <c r="B15">
        <v>781</v>
      </c>
      <c r="C15" s="3">
        <v>0</v>
      </c>
      <c r="D15" s="2">
        <v>2.6101166666666602</v>
      </c>
      <c r="E15" s="4">
        <f t="shared" si="0"/>
        <v>2.6101166666666602</v>
      </c>
      <c r="F15" t="s">
        <v>7</v>
      </c>
      <c r="G15">
        <v>1.5223833333333301</v>
      </c>
      <c r="H15">
        <v>1.0877333333333301</v>
      </c>
    </row>
    <row r="16" spans="1:8" x14ac:dyDescent="0.2">
      <c r="A16" s="1">
        <v>43313.833333333336</v>
      </c>
      <c r="B16">
        <v>974</v>
      </c>
      <c r="C16" s="3">
        <v>0</v>
      </c>
      <c r="D16" s="2">
        <v>2.8567</v>
      </c>
      <c r="E16" s="4">
        <f t="shared" si="0"/>
        <v>2.8567</v>
      </c>
      <c r="F16" t="s">
        <v>7</v>
      </c>
      <c r="G16">
        <v>1.6042333333333265</v>
      </c>
      <c r="H16">
        <v>1.2524666666666735</v>
      </c>
    </row>
    <row r="17" spans="1:8" x14ac:dyDescent="0.2">
      <c r="A17" s="1">
        <v>43313.833333333336</v>
      </c>
      <c r="B17">
        <v>1192</v>
      </c>
      <c r="C17" s="3">
        <v>0</v>
      </c>
      <c r="D17" s="2">
        <v>1.7451666666666601</v>
      </c>
      <c r="E17" s="4">
        <f t="shared" si="0"/>
        <v>1.7451666666666601</v>
      </c>
      <c r="F17" t="s">
        <v>7</v>
      </c>
      <c r="G17">
        <v>1.0487666666666633</v>
      </c>
      <c r="H17">
        <v>0.6963999999999968</v>
      </c>
    </row>
    <row r="18" spans="1:8" x14ac:dyDescent="0.2">
      <c r="A18" s="1">
        <v>43313.833333333336</v>
      </c>
      <c r="B18">
        <v>1354</v>
      </c>
      <c r="C18" s="3">
        <v>0</v>
      </c>
      <c r="D18" s="2">
        <v>3.57761666666666</v>
      </c>
      <c r="E18" s="4">
        <f t="shared" si="0"/>
        <v>3.57761666666666</v>
      </c>
      <c r="F18" t="s">
        <v>7</v>
      </c>
      <c r="G18">
        <v>2.5480999999999967</v>
      </c>
      <c r="H18">
        <v>1.0295166666666633</v>
      </c>
    </row>
    <row r="19" spans="1:8" x14ac:dyDescent="0.2">
      <c r="A19" s="1">
        <v>43313.833333333336</v>
      </c>
      <c r="B19">
        <v>1714</v>
      </c>
      <c r="C19" s="3">
        <v>0</v>
      </c>
      <c r="D19" s="2">
        <v>2.9613499999999999</v>
      </c>
      <c r="E19" s="4">
        <f t="shared" si="0"/>
        <v>2.9613499999999999</v>
      </c>
      <c r="F19" t="s">
        <v>7</v>
      </c>
      <c r="G19">
        <v>2.2179666666666633</v>
      </c>
      <c r="H19">
        <v>0.74338333333333662</v>
      </c>
    </row>
    <row r="20" spans="1:8" x14ac:dyDescent="0.2">
      <c r="A20" s="1">
        <v>43313.833333333336</v>
      </c>
      <c r="B20">
        <v>1800</v>
      </c>
      <c r="C20" s="3">
        <v>0</v>
      </c>
      <c r="D20" s="2">
        <v>4.2450999999999999</v>
      </c>
      <c r="E20" s="4">
        <f t="shared" si="0"/>
        <v>4.2450999999999999</v>
      </c>
      <c r="F20" t="s">
        <v>7</v>
      </c>
      <c r="G20">
        <v>2.4825333333333299</v>
      </c>
      <c r="H20">
        <v>1.7625666666666699</v>
      </c>
    </row>
    <row r="21" spans="1:8" x14ac:dyDescent="0.2">
      <c r="A21" s="1">
        <v>43313.833333333336</v>
      </c>
      <c r="B21">
        <v>2129</v>
      </c>
      <c r="C21" s="3">
        <v>0</v>
      </c>
      <c r="D21" s="2">
        <v>2.36571666666666</v>
      </c>
      <c r="E21" s="4">
        <f t="shared" si="0"/>
        <v>2.36571666666666</v>
      </c>
      <c r="F21" t="s">
        <v>7</v>
      </c>
      <c r="G21">
        <v>1.33246666666666</v>
      </c>
      <c r="H21">
        <v>1.03325</v>
      </c>
    </row>
    <row r="22" spans="1:8" x14ac:dyDescent="0.2">
      <c r="A22" s="1">
        <v>43313.833333333336</v>
      </c>
      <c r="B22">
        <v>59</v>
      </c>
      <c r="C22" s="3">
        <v>0</v>
      </c>
      <c r="D22" s="2">
        <v>3.1366666666666601</v>
      </c>
      <c r="E22" s="4">
        <f t="shared" ref="E22:E64" si="1">D22-C22</f>
        <v>3.1366666666666601</v>
      </c>
      <c r="F22" t="s">
        <v>8</v>
      </c>
      <c r="G22">
        <v>1.9929666666666599</v>
      </c>
      <c r="H22">
        <v>1.1437000000000002</v>
      </c>
    </row>
    <row r="23" spans="1:8" x14ac:dyDescent="0.2">
      <c r="A23" s="1">
        <v>43313.833333333336</v>
      </c>
      <c r="B23">
        <v>86</v>
      </c>
      <c r="C23" s="3">
        <v>0</v>
      </c>
      <c r="D23" s="2">
        <v>4.0744166666666599</v>
      </c>
      <c r="E23" s="4">
        <f t="shared" si="1"/>
        <v>4.0744166666666599</v>
      </c>
      <c r="F23" t="s">
        <v>8</v>
      </c>
      <c r="G23">
        <v>2.4644499999999967</v>
      </c>
      <c r="H23">
        <v>1.6099666666666632</v>
      </c>
    </row>
    <row r="24" spans="1:8" x14ac:dyDescent="0.2">
      <c r="A24" s="1">
        <v>43313.833333333336</v>
      </c>
      <c r="B24">
        <v>94</v>
      </c>
      <c r="C24" s="3">
        <v>0</v>
      </c>
      <c r="D24" s="2">
        <v>1.2904166666666601</v>
      </c>
      <c r="E24" s="4">
        <f t="shared" si="1"/>
        <v>1.2904166666666601</v>
      </c>
      <c r="F24" t="s">
        <v>8</v>
      </c>
      <c r="G24">
        <v>0.40105000000000002</v>
      </c>
      <c r="H24">
        <v>0.88936666666666009</v>
      </c>
    </row>
    <row r="25" spans="1:8" x14ac:dyDescent="0.2">
      <c r="A25" s="1">
        <v>43313.833333333336</v>
      </c>
      <c r="B25">
        <v>115</v>
      </c>
      <c r="C25" s="3">
        <v>0</v>
      </c>
      <c r="D25" s="2">
        <v>2.3029500000000001</v>
      </c>
      <c r="E25" s="4">
        <f t="shared" si="1"/>
        <v>2.3029500000000001</v>
      </c>
      <c r="F25" t="s">
        <v>8</v>
      </c>
      <c r="G25">
        <v>1.13435</v>
      </c>
      <c r="H25">
        <v>1.1686000000000001</v>
      </c>
    </row>
    <row r="26" spans="1:8" x14ac:dyDescent="0.2">
      <c r="A26" s="1">
        <v>43313.833333333336</v>
      </c>
      <c r="B26">
        <v>503</v>
      </c>
      <c r="C26" s="3">
        <v>0</v>
      </c>
      <c r="D26" s="2">
        <v>3.2488999999999999</v>
      </c>
      <c r="E26" s="4">
        <f t="shared" si="1"/>
        <v>3.2488999999999999</v>
      </c>
      <c r="F26" t="s">
        <v>8</v>
      </c>
      <c r="G26">
        <v>2.2313666666666632</v>
      </c>
      <c r="H26">
        <v>1.0175333333333367</v>
      </c>
    </row>
    <row r="27" spans="1:8" x14ac:dyDescent="0.2">
      <c r="A27" s="1">
        <v>43313.833333333336</v>
      </c>
      <c r="B27">
        <v>621</v>
      </c>
      <c r="C27" s="3">
        <v>0</v>
      </c>
      <c r="D27" s="2">
        <v>1.0022</v>
      </c>
      <c r="E27" s="4">
        <f t="shared" si="1"/>
        <v>1.0022</v>
      </c>
      <c r="F27" t="s">
        <v>8</v>
      </c>
      <c r="G27">
        <v>0.20223333333333299</v>
      </c>
      <c r="H27">
        <v>0.79996666666666694</v>
      </c>
    </row>
    <row r="28" spans="1:8" x14ac:dyDescent="0.2">
      <c r="A28" s="1">
        <v>43313.833333333336</v>
      </c>
      <c r="B28">
        <v>871</v>
      </c>
      <c r="C28" s="3">
        <v>0</v>
      </c>
      <c r="D28" s="2">
        <v>3.7736166666666602</v>
      </c>
      <c r="E28" s="4">
        <f t="shared" si="1"/>
        <v>3.7736166666666602</v>
      </c>
      <c r="F28" t="s">
        <v>8</v>
      </c>
      <c r="G28">
        <v>2.0943166666666602</v>
      </c>
      <c r="H28">
        <v>1.6793</v>
      </c>
    </row>
    <row r="29" spans="1:8" x14ac:dyDescent="0.2">
      <c r="A29" s="1">
        <v>43313.833333333336</v>
      </c>
      <c r="B29">
        <v>930</v>
      </c>
      <c r="C29" s="3">
        <v>0</v>
      </c>
      <c r="D29" s="2">
        <v>3.2431999999999999</v>
      </c>
      <c r="E29" s="4">
        <f t="shared" si="1"/>
        <v>3.2431999999999999</v>
      </c>
      <c r="F29" t="s">
        <v>8</v>
      </c>
      <c r="G29">
        <v>1.62286666666666</v>
      </c>
      <c r="H29">
        <v>1.6203333333333398</v>
      </c>
    </row>
    <row r="30" spans="1:8" x14ac:dyDescent="0.2">
      <c r="A30" s="1">
        <v>43313.833333333336</v>
      </c>
      <c r="B30">
        <v>946</v>
      </c>
      <c r="C30" s="3">
        <v>0</v>
      </c>
      <c r="D30" s="2">
        <v>1.68536666666666</v>
      </c>
      <c r="E30" s="4">
        <f t="shared" si="1"/>
        <v>1.68536666666666</v>
      </c>
      <c r="F30" t="s">
        <v>8</v>
      </c>
      <c r="G30">
        <v>0.96918333333333262</v>
      </c>
      <c r="H30">
        <v>0.7161833333333274</v>
      </c>
    </row>
    <row r="31" spans="1:8" x14ac:dyDescent="0.2">
      <c r="A31" s="1">
        <v>43313.833333333336</v>
      </c>
      <c r="B31">
        <v>994</v>
      </c>
      <c r="C31" s="3">
        <v>0</v>
      </c>
      <c r="D31" s="2">
        <v>2.7795666666666601</v>
      </c>
      <c r="E31" s="4">
        <f t="shared" si="1"/>
        <v>2.7795666666666601</v>
      </c>
      <c r="F31" t="s">
        <v>8</v>
      </c>
      <c r="G31">
        <v>2.0926999999999931</v>
      </c>
      <c r="H31">
        <v>0.68686666666666696</v>
      </c>
    </row>
    <row r="32" spans="1:8" x14ac:dyDescent="0.2">
      <c r="A32" s="1">
        <v>43313.833333333336</v>
      </c>
      <c r="B32">
        <v>1086</v>
      </c>
      <c r="C32" s="3">
        <v>0</v>
      </c>
      <c r="D32" s="2">
        <v>1.53145</v>
      </c>
      <c r="E32" s="4">
        <f t="shared" si="1"/>
        <v>1.53145</v>
      </c>
      <c r="F32" t="s">
        <v>8</v>
      </c>
      <c r="G32">
        <v>0.7171499999999994</v>
      </c>
      <c r="H32">
        <v>0.81430000000000058</v>
      </c>
    </row>
    <row r="33" spans="1:8" x14ac:dyDescent="0.2">
      <c r="A33" s="1">
        <v>43313.833333333336</v>
      </c>
      <c r="B33">
        <v>1202</v>
      </c>
      <c r="C33" s="3">
        <v>0</v>
      </c>
      <c r="D33" s="2">
        <v>3.42346666666666</v>
      </c>
      <c r="E33" s="4">
        <f t="shared" si="1"/>
        <v>3.42346666666666</v>
      </c>
      <c r="F33" t="s">
        <v>8</v>
      </c>
      <c r="G33">
        <v>1.1974333333333327</v>
      </c>
      <c r="H33">
        <v>2.2260333333333273</v>
      </c>
    </row>
    <row r="34" spans="1:8" x14ac:dyDescent="0.2">
      <c r="A34" s="1">
        <v>43313.833333333336</v>
      </c>
      <c r="B34">
        <v>1334</v>
      </c>
      <c r="C34" s="3">
        <v>0</v>
      </c>
      <c r="D34" s="2">
        <v>2.1364666666666601</v>
      </c>
      <c r="E34" s="4">
        <f t="shared" si="1"/>
        <v>2.1364666666666601</v>
      </c>
      <c r="F34" t="s">
        <v>8</v>
      </c>
      <c r="G34">
        <v>1.54751666666666</v>
      </c>
      <c r="H34">
        <v>0.58895000000000008</v>
      </c>
    </row>
    <row r="35" spans="1:8" x14ac:dyDescent="0.2">
      <c r="A35" s="1">
        <v>43313.833333333336</v>
      </c>
      <c r="B35">
        <v>1500</v>
      </c>
      <c r="C35" s="3">
        <v>0</v>
      </c>
      <c r="D35" s="2">
        <v>1.8560666666666601</v>
      </c>
      <c r="E35" s="4">
        <f t="shared" si="1"/>
        <v>1.8560666666666601</v>
      </c>
      <c r="F35" t="s">
        <v>8</v>
      </c>
      <c r="G35">
        <v>1.16225</v>
      </c>
      <c r="H35">
        <v>0.69381666666666009</v>
      </c>
    </row>
    <row r="36" spans="1:8" x14ac:dyDescent="0.2">
      <c r="A36" s="1">
        <v>43313.833333333336</v>
      </c>
      <c r="B36">
        <v>1507</v>
      </c>
      <c r="C36" s="3">
        <v>0</v>
      </c>
      <c r="D36" s="2">
        <v>4.9413833333333299</v>
      </c>
      <c r="E36" s="4">
        <f t="shared" si="1"/>
        <v>4.9413833333333299</v>
      </c>
      <c r="F36" t="s">
        <v>8</v>
      </c>
      <c r="G36">
        <v>2.8437666666666601</v>
      </c>
      <c r="H36">
        <v>2.0976166666666698</v>
      </c>
    </row>
    <row r="37" spans="1:8" x14ac:dyDescent="0.2">
      <c r="A37" s="1">
        <v>43313.833333333336</v>
      </c>
      <c r="B37">
        <v>1796</v>
      </c>
      <c r="C37" s="3">
        <v>0</v>
      </c>
      <c r="D37" s="2">
        <v>1.1124166666666599</v>
      </c>
      <c r="E37" s="4">
        <f t="shared" si="1"/>
        <v>1.1124166666666599</v>
      </c>
      <c r="F37" t="s">
        <v>8</v>
      </c>
      <c r="G37">
        <v>0.81306666666666605</v>
      </c>
      <c r="H37">
        <v>0.2993499999999939</v>
      </c>
    </row>
    <row r="38" spans="1:8" x14ac:dyDescent="0.2">
      <c r="A38" s="1">
        <v>43313.833333333336</v>
      </c>
      <c r="B38">
        <v>2004</v>
      </c>
      <c r="C38" s="3">
        <v>0</v>
      </c>
      <c r="D38" s="2">
        <v>3.4359333333333302</v>
      </c>
      <c r="E38" s="4">
        <f t="shared" si="1"/>
        <v>3.4359333333333302</v>
      </c>
      <c r="F38" t="s">
        <v>8</v>
      </c>
      <c r="G38">
        <v>1.8007166666666599</v>
      </c>
      <c r="H38">
        <v>1.6352166666666703</v>
      </c>
    </row>
    <row r="39" spans="1:8" x14ac:dyDescent="0.2">
      <c r="A39" s="1">
        <v>43313.833333333336</v>
      </c>
      <c r="B39">
        <v>2034</v>
      </c>
      <c r="C39" s="3">
        <v>0</v>
      </c>
      <c r="D39" s="2">
        <v>3.7562500000000001</v>
      </c>
      <c r="E39" s="4">
        <f t="shared" si="1"/>
        <v>3.7562500000000001</v>
      </c>
      <c r="F39" t="s">
        <v>8</v>
      </c>
      <c r="G39">
        <v>1.8077666666666667</v>
      </c>
      <c r="H39">
        <v>1.9484833333333333</v>
      </c>
    </row>
    <row r="40" spans="1:8" x14ac:dyDescent="0.2">
      <c r="A40" s="1">
        <v>43313.833333333336</v>
      </c>
      <c r="B40">
        <v>2158</v>
      </c>
      <c r="C40" s="3">
        <v>0</v>
      </c>
      <c r="D40" s="2">
        <v>2.63191666666666</v>
      </c>
      <c r="E40" s="4">
        <f t="shared" si="1"/>
        <v>2.63191666666666</v>
      </c>
      <c r="F40" t="s">
        <v>8</v>
      </c>
      <c r="G40">
        <v>1.6357666666666599</v>
      </c>
      <c r="H40">
        <v>0.99615000000000009</v>
      </c>
    </row>
    <row r="41" spans="1:8" x14ac:dyDescent="0.2">
      <c r="A41" s="1">
        <v>43313.833333333336</v>
      </c>
      <c r="B41">
        <v>2378</v>
      </c>
      <c r="C41" s="3">
        <v>0</v>
      </c>
      <c r="D41" s="2">
        <v>0.32350000000000001</v>
      </c>
      <c r="E41" s="4">
        <f t="shared" si="1"/>
        <v>0.32350000000000001</v>
      </c>
      <c r="F41" t="s">
        <v>8</v>
      </c>
      <c r="G41">
        <v>1E-4</v>
      </c>
      <c r="H41">
        <v>0.32340000000000002</v>
      </c>
    </row>
    <row r="42" spans="1:8" x14ac:dyDescent="0.2">
      <c r="A42" s="1">
        <v>43313.833333333336</v>
      </c>
      <c r="B42">
        <v>2472</v>
      </c>
      <c r="C42" s="3">
        <v>0</v>
      </c>
      <c r="D42" s="2">
        <v>2.3247166666666601</v>
      </c>
      <c r="E42" s="4">
        <f t="shared" si="1"/>
        <v>2.3247166666666601</v>
      </c>
      <c r="F42" t="s">
        <v>8</v>
      </c>
      <c r="G42">
        <v>1.23556666666666</v>
      </c>
      <c r="H42">
        <v>1.0891500000000001</v>
      </c>
    </row>
    <row r="43" spans="1:8" x14ac:dyDescent="0.2">
      <c r="A43" s="1">
        <v>43313.833333333336</v>
      </c>
      <c r="B43">
        <v>2859</v>
      </c>
      <c r="C43" s="3">
        <v>0</v>
      </c>
      <c r="D43" s="2">
        <v>1.05416666666666</v>
      </c>
      <c r="E43" s="4">
        <f t="shared" si="1"/>
        <v>1.05416666666666</v>
      </c>
      <c r="F43" t="s">
        <v>8</v>
      </c>
      <c r="G43">
        <v>0.58543333333333303</v>
      </c>
      <c r="H43">
        <v>0.46873333333332701</v>
      </c>
    </row>
    <row r="44" spans="1:8" x14ac:dyDescent="0.2">
      <c r="A44" s="1">
        <v>43313.833333333336</v>
      </c>
      <c r="B44">
        <v>2953</v>
      </c>
      <c r="C44" s="3">
        <v>0</v>
      </c>
      <c r="D44" s="2">
        <v>0.72970000000000002</v>
      </c>
      <c r="E44" s="4">
        <f t="shared" si="1"/>
        <v>0.72970000000000002</v>
      </c>
      <c r="F44" t="s">
        <v>8</v>
      </c>
      <c r="G44">
        <v>0.38969999999999999</v>
      </c>
      <c r="H44">
        <v>0.34</v>
      </c>
    </row>
    <row r="45" spans="1:8" x14ac:dyDescent="0.2">
      <c r="A45" s="1">
        <v>43313.833333333336</v>
      </c>
      <c r="B45">
        <v>3273</v>
      </c>
      <c r="C45" s="3">
        <v>0</v>
      </c>
      <c r="D45" s="2">
        <v>0.93830000000000002</v>
      </c>
      <c r="E45" s="4">
        <f t="shared" si="1"/>
        <v>0.93830000000000002</v>
      </c>
      <c r="F45" t="s">
        <v>8</v>
      </c>
      <c r="G45">
        <v>0.63753333333333295</v>
      </c>
      <c r="H45">
        <v>0.30076666666666707</v>
      </c>
    </row>
    <row r="46" spans="1:8" x14ac:dyDescent="0.2">
      <c r="A46" s="1">
        <v>43313.833333333336</v>
      </c>
      <c r="B46">
        <v>3401</v>
      </c>
      <c r="C46" s="3">
        <v>0</v>
      </c>
      <c r="D46" s="2">
        <v>5.08575</v>
      </c>
      <c r="E46" s="4">
        <f t="shared" si="1"/>
        <v>5.08575</v>
      </c>
      <c r="F46" t="s">
        <v>8</v>
      </c>
      <c r="G46">
        <v>2.9206833333333302</v>
      </c>
      <c r="H46">
        <v>2.1650666666666698</v>
      </c>
    </row>
    <row r="47" spans="1:8" x14ac:dyDescent="0.2">
      <c r="A47" s="1">
        <v>43313.833333333336</v>
      </c>
      <c r="B47">
        <v>3778</v>
      </c>
      <c r="C47" s="3">
        <v>0</v>
      </c>
      <c r="D47" s="2">
        <v>2.7328333333333301</v>
      </c>
      <c r="E47" s="4">
        <f t="shared" si="1"/>
        <v>2.7328333333333301</v>
      </c>
      <c r="F47" t="s">
        <v>8</v>
      </c>
      <c r="G47">
        <v>1.2590666666666599</v>
      </c>
      <c r="H47">
        <v>1.4737666666666702</v>
      </c>
    </row>
    <row r="48" spans="1:8" x14ac:dyDescent="0.2">
      <c r="A48" s="1">
        <v>43313.833333333336</v>
      </c>
      <c r="B48">
        <v>3831</v>
      </c>
      <c r="C48" s="3">
        <v>0</v>
      </c>
      <c r="D48" s="2">
        <v>2.5363833333333301</v>
      </c>
      <c r="E48" s="4">
        <f t="shared" si="1"/>
        <v>2.5363833333333301</v>
      </c>
      <c r="F48" t="s">
        <v>8</v>
      </c>
      <c r="G48">
        <v>1.84273333333333</v>
      </c>
      <c r="H48">
        <v>0.6936500000000001</v>
      </c>
    </row>
    <row r="49" spans="1:8" x14ac:dyDescent="0.2">
      <c r="A49" s="1">
        <v>43313.833333333336</v>
      </c>
      <c r="B49">
        <v>3893</v>
      </c>
      <c r="C49" s="3">
        <v>0</v>
      </c>
      <c r="D49" s="2">
        <v>2.26511666666666</v>
      </c>
      <c r="E49" s="4">
        <f t="shared" si="1"/>
        <v>2.26511666666666</v>
      </c>
      <c r="F49" t="s">
        <v>8</v>
      </c>
      <c r="G49">
        <v>0.55520000000000003</v>
      </c>
      <c r="H49">
        <v>1.7099166666666599</v>
      </c>
    </row>
    <row r="50" spans="1:8" x14ac:dyDescent="0.2">
      <c r="A50" s="1">
        <v>43313.833333333336</v>
      </c>
      <c r="B50">
        <v>4213</v>
      </c>
      <c r="C50" s="3">
        <v>0</v>
      </c>
      <c r="D50" s="2">
        <v>3.1793</v>
      </c>
      <c r="E50" s="4">
        <f t="shared" si="1"/>
        <v>3.1793</v>
      </c>
      <c r="F50" t="s">
        <v>8</v>
      </c>
      <c r="G50">
        <v>2.1362999999999999</v>
      </c>
      <c r="H50">
        <v>1.0430000000000001</v>
      </c>
    </row>
    <row r="51" spans="1:8" x14ac:dyDescent="0.2">
      <c r="A51" s="1">
        <v>43313.833333333336</v>
      </c>
      <c r="B51">
        <v>4298</v>
      </c>
      <c r="C51" s="3">
        <v>0</v>
      </c>
      <c r="D51" s="2">
        <v>2.6024666666666598</v>
      </c>
      <c r="E51" s="4">
        <f t="shared" si="1"/>
        <v>2.6024666666666598</v>
      </c>
      <c r="F51" t="s">
        <v>8</v>
      </c>
      <c r="G51">
        <v>1.8767166666666599</v>
      </c>
      <c r="H51">
        <v>0.7257499999999999</v>
      </c>
    </row>
    <row r="52" spans="1:8" x14ac:dyDescent="0.2">
      <c r="A52" s="1">
        <v>43313.833333333336</v>
      </c>
      <c r="B52">
        <v>370</v>
      </c>
      <c r="C52" s="3" t="e">
        <f t="array" ref="C52">VLOOKUP(A52&amp;B52,IF({1,0},#REF!&amp;#REF!,#REF!),2,FALSE)</f>
        <v>#N/A</v>
      </c>
      <c r="D52" s="3" t="e">
        <f t="array" ref="D52">VLOOKUP(A52&amp;B52,IF({1,0},#REF!&amp;#REF!,#REF!),2,FALSE)</f>
        <v>#N/A</v>
      </c>
      <c r="E52" t="e">
        <f t="shared" si="1"/>
        <v>#N/A</v>
      </c>
      <c r="F52" t="s">
        <v>7</v>
      </c>
      <c r="G52">
        <v>4.2187499999999929</v>
      </c>
      <c r="H52">
        <v>1.1751666666666667</v>
      </c>
    </row>
    <row r="53" spans="1:8" x14ac:dyDescent="0.2">
      <c r="A53" s="1">
        <v>43313.833333333336</v>
      </c>
      <c r="B53">
        <v>2638</v>
      </c>
      <c r="C53" s="3" t="e">
        <f t="array" ref="C53">VLOOKUP(A53&amp;B53,IF({1,0},#REF!&amp;#REF!,#REF!),2,FALSE)</f>
        <v>#N/A</v>
      </c>
      <c r="D53" s="3" t="e">
        <f t="array" ref="D53">VLOOKUP(A53&amp;B53,IF({1,0},#REF!&amp;#REF!,#REF!),2,FALSE)</f>
        <v>#N/A</v>
      </c>
      <c r="E53" t="e">
        <f t="shared" si="1"/>
        <v>#N/A</v>
      </c>
      <c r="F53" t="s">
        <v>7</v>
      </c>
      <c r="G53">
        <v>1.5257333333333301</v>
      </c>
      <c r="H53">
        <v>1.0902500000000002</v>
      </c>
    </row>
    <row r="54" spans="1:8" x14ac:dyDescent="0.2">
      <c r="A54" s="1">
        <v>43313.833333333336</v>
      </c>
      <c r="B54">
        <v>3482</v>
      </c>
      <c r="C54" s="3" t="e">
        <f t="array" ref="C54">VLOOKUP(A54&amp;B54,IF({1,0},#REF!&amp;#REF!,#REF!),2,FALSE)</f>
        <v>#N/A</v>
      </c>
      <c r="D54" s="3" t="e">
        <f t="array" ref="D54">VLOOKUP(A54&amp;B54,IF({1,0},#REF!&amp;#REF!,#REF!),2,FALSE)</f>
        <v>#N/A</v>
      </c>
      <c r="E54" t="e">
        <f t="shared" si="1"/>
        <v>#N/A</v>
      </c>
      <c r="F54" t="s">
        <v>7</v>
      </c>
      <c r="G54">
        <v>0.4064499999999997</v>
      </c>
      <c r="H54">
        <v>0.3324833333333333</v>
      </c>
    </row>
    <row r="55" spans="1:8" x14ac:dyDescent="0.2">
      <c r="A55" s="1">
        <v>43313.833333333336</v>
      </c>
      <c r="B55">
        <v>3723</v>
      </c>
      <c r="C55" s="3" t="e">
        <f t="array" ref="C55">VLOOKUP(A55&amp;B55,IF({1,0},#REF!&amp;#REF!,#REF!),2,FALSE)</f>
        <v>#N/A</v>
      </c>
      <c r="D55" s="3" t="e">
        <f t="array" ref="D55">VLOOKUP(A55&amp;B55,IF({1,0},#REF!&amp;#REF!,#REF!),2,FALSE)</f>
        <v>#N/A</v>
      </c>
      <c r="E55" t="e">
        <f t="shared" si="1"/>
        <v>#N/A</v>
      </c>
      <c r="F55" t="s">
        <v>7</v>
      </c>
      <c r="G55">
        <v>1.7158333333333267</v>
      </c>
      <c r="H55">
        <v>1.3691000000000035</v>
      </c>
    </row>
    <row r="56" spans="1:8" x14ac:dyDescent="0.2">
      <c r="A56" s="1">
        <v>43313.833333333336</v>
      </c>
      <c r="B56">
        <v>3967</v>
      </c>
      <c r="C56" s="3" t="e">
        <f t="array" ref="C56">VLOOKUP(A56&amp;B56,IF({1,0},#REF!&amp;#REF!,#REF!),2,FALSE)</f>
        <v>#N/A</v>
      </c>
      <c r="D56" s="3" t="e">
        <f t="array" ref="D56">VLOOKUP(A56&amp;B56,IF({1,0},#REF!&amp;#REF!,#REF!),2,FALSE)</f>
        <v>#N/A</v>
      </c>
      <c r="E56" t="e">
        <f t="shared" si="1"/>
        <v>#N/A</v>
      </c>
      <c r="F56" t="s">
        <v>7</v>
      </c>
      <c r="G56">
        <v>2.5082166666666601</v>
      </c>
      <c r="H56">
        <v>1.2818999999999998</v>
      </c>
    </row>
    <row r="57" spans="1:8" x14ac:dyDescent="0.2">
      <c r="A57" s="1">
        <v>43313.833333333336</v>
      </c>
      <c r="B57">
        <v>4998</v>
      </c>
      <c r="C57" s="3" t="e">
        <f t="array" ref="C57">VLOOKUP(A57&amp;B57,IF({1,0},#REF!&amp;#REF!,#REF!),2,FALSE)</f>
        <v>#N/A</v>
      </c>
      <c r="D57" s="3" t="e">
        <f t="array" ref="D57">VLOOKUP(A57&amp;B57,IF({1,0},#REF!&amp;#REF!,#REF!),2,FALSE)</f>
        <v>#N/A</v>
      </c>
      <c r="E57" t="e">
        <f t="shared" si="1"/>
        <v>#N/A</v>
      </c>
      <c r="F57" t="s">
        <v>8</v>
      </c>
      <c r="G57">
        <v>1.75223333333333</v>
      </c>
      <c r="H57">
        <v>0.9962333333333302</v>
      </c>
    </row>
    <row r="58" spans="1:8" x14ac:dyDescent="0.2">
      <c r="A58" s="1">
        <v>43313.833333333336</v>
      </c>
      <c r="B58">
        <v>5749</v>
      </c>
      <c r="C58" s="3" t="e">
        <f t="array" ref="C58">VLOOKUP(A58&amp;B58,IF({1,0},#REF!&amp;#REF!,#REF!),2,FALSE)</f>
        <v>#N/A</v>
      </c>
      <c r="D58" s="3" t="e">
        <f t="array" ref="D58">VLOOKUP(A58&amp;B58,IF({1,0},#REF!&amp;#REF!,#REF!),2,FALSE)</f>
        <v>#N/A</v>
      </c>
      <c r="E58" t="e">
        <f t="shared" si="1"/>
        <v>#N/A</v>
      </c>
      <c r="F58" t="s">
        <v>6</v>
      </c>
      <c r="G58">
        <v>2.9677333333333298</v>
      </c>
      <c r="H58">
        <v>2.0604833333333303</v>
      </c>
    </row>
    <row r="59" spans="1:8" x14ac:dyDescent="0.2">
      <c r="A59" s="1">
        <v>43313.833333333336</v>
      </c>
      <c r="B59">
        <v>6248</v>
      </c>
      <c r="C59" s="3" t="e">
        <f t="array" ref="C59">VLOOKUP(A59&amp;B59,IF({1,0},#REF!&amp;#REF!,#REF!),2,FALSE)</f>
        <v>#N/A</v>
      </c>
      <c r="D59" s="3" t="e">
        <f t="array" ref="D59">VLOOKUP(A59&amp;B59,IF({1,0},#REF!&amp;#REF!,#REF!),2,FALSE)</f>
        <v>#N/A</v>
      </c>
      <c r="E59" t="e">
        <f t="shared" si="1"/>
        <v>#N/A</v>
      </c>
      <c r="F59" t="s">
        <v>7</v>
      </c>
      <c r="G59">
        <v>2.8631166666666594</v>
      </c>
      <c r="H59">
        <v>2.0457833333333406</v>
      </c>
    </row>
    <row r="60" spans="1:8" x14ac:dyDescent="0.2">
      <c r="A60" s="1">
        <v>43313.833333333336</v>
      </c>
      <c r="B60">
        <v>6691</v>
      </c>
      <c r="C60" s="3" t="e">
        <f t="array" ref="C60">VLOOKUP(A60&amp;B60,IF({1,0},#REF!&amp;#REF!,#REF!),2,FALSE)</f>
        <v>#N/A</v>
      </c>
      <c r="D60" s="3" t="e">
        <f t="array" ref="D60">VLOOKUP(A60&amp;B60,IF({1,0},#REF!&amp;#REF!,#REF!),2,FALSE)</f>
        <v>#N/A</v>
      </c>
      <c r="E60" t="e">
        <f t="shared" si="1"/>
        <v>#N/A</v>
      </c>
      <c r="F60" t="s">
        <v>7</v>
      </c>
      <c r="G60">
        <v>2.2049833333333297</v>
      </c>
      <c r="H60">
        <v>1.1985000000000001</v>
      </c>
    </row>
    <row r="61" spans="1:8" x14ac:dyDescent="0.2">
      <c r="A61" s="1">
        <v>43313.833333333336</v>
      </c>
      <c r="B61">
        <v>7024</v>
      </c>
      <c r="C61" s="3" t="e">
        <f t="array" ref="C61">VLOOKUP(A61&amp;B61,IF({1,0},#REF!&amp;#REF!,#REF!),2,FALSE)</f>
        <v>#N/A</v>
      </c>
      <c r="D61" s="3" t="e">
        <f t="array" ref="D61">VLOOKUP(A61&amp;B61,IF({1,0},#REF!&amp;#REF!,#REF!),2,FALSE)</f>
        <v>#N/A</v>
      </c>
      <c r="E61" t="e">
        <f t="shared" si="1"/>
        <v>#N/A</v>
      </c>
      <c r="F61" t="s">
        <v>7</v>
      </c>
      <c r="G61">
        <v>0.72791666666666599</v>
      </c>
      <c r="H61">
        <v>0.47711666666666408</v>
      </c>
    </row>
    <row r="62" spans="1:8" x14ac:dyDescent="0.2">
      <c r="A62" s="1">
        <v>43313.833333333336</v>
      </c>
      <c r="B62">
        <v>7875</v>
      </c>
      <c r="C62" s="3" t="e">
        <f t="array" ref="C62">VLOOKUP(A62&amp;B62,IF({1,0},#REF!&amp;#REF!,#REF!),2,FALSE)</f>
        <v>#N/A</v>
      </c>
      <c r="D62" s="3" t="e">
        <f t="array" ref="D62">VLOOKUP(A62&amp;B62,IF({1,0},#REF!&amp;#REF!,#REF!),2,FALSE)</f>
        <v>#N/A</v>
      </c>
      <c r="E62" t="e">
        <f t="shared" si="1"/>
        <v>#N/A</v>
      </c>
      <c r="F62" t="s">
        <v>6</v>
      </c>
      <c r="G62">
        <v>8.0836166666666536</v>
      </c>
      <c r="H62">
        <v>0.50311666666667598</v>
      </c>
    </row>
    <row r="63" spans="1:8" x14ac:dyDescent="0.2">
      <c r="A63" s="1">
        <v>43313.833333333336</v>
      </c>
      <c r="B63">
        <v>8236</v>
      </c>
      <c r="C63" s="3" t="e">
        <f t="array" ref="C63">VLOOKUP(A63&amp;B63,IF({1,0},#REF!&amp;#REF!,#REF!),2,FALSE)</f>
        <v>#N/A</v>
      </c>
      <c r="D63" s="3" t="e">
        <f t="array" ref="D63">VLOOKUP(A63&amp;B63,IF({1,0},#REF!&amp;#REF!,#REF!),2,FALSE)</f>
        <v>#N/A</v>
      </c>
      <c r="E63" t="e">
        <f t="shared" si="1"/>
        <v>#N/A</v>
      </c>
      <c r="F63" t="s">
        <v>7</v>
      </c>
      <c r="G63">
        <v>1.7311833333333264</v>
      </c>
      <c r="H63">
        <v>0.75631666666667341</v>
      </c>
    </row>
    <row r="64" spans="1:8" x14ac:dyDescent="0.2">
      <c r="A64" s="1">
        <v>43313.833333333336</v>
      </c>
      <c r="B64">
        <v>8645</v>
      </c>
      <c r="C64" s="3" t="e">
        <f t="array" ref="C64">VLOOKUP(A64&amp;B64,IF({1,0},#REF!&amp;#REF!,#REF!),2,FALSE)</f>
        <v>#N/A</v>
      </c>
      <c r="D64" s="3" t="e">
        <f t="array" ref="D64">VLOOKUP(A64&amp;B64,IF({1,0},#REF!&amp;#REF!,#REF!),2,FALSE)</f>
        <v>#N/A</v>
      </c>
      <c r="E64" t="e">
        <f t="shared" si="1"/>
        <v>#N/A</v>
      </c>
      <c r="F64" t="s">
        <v>7</v>
      </c>
      <c r="G64">
        <v>1.093433333333333</v>
      </c>
      <c r="H64">
        <v>0.19868333333332688</v>
      </c>
    </row>
    <row r="17111" spans="1:1" x14ac:dyDescent="0.2">
      <c r="A17111" t="s">
        <v>0</v>
      </c>
    </row>
  </sheetData>
  <phoneticPr fontId="1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BBC50-1B48-CD4B-B1AD-ACFF5220DC94}">
  <dimension ref="A1:H96"/>
  <sheetViews>
    <sheetView tabSelected="1" workbookViewId="0">
      <selection activeCell="O8" sqref="O8"/>
    </sheetView>
  </sheetViews>
  <sheetFormatPr baseColWidth="10" defaultRowHeight="16" x14ac:dyDescent="0.2"/>
  <cols>
    <col min="1" max="1" width="24.1640625" customWidth="1"/>
    <col min="2" max="2" width="13.83203125" customWidth="1"/>
    <col min="3" max="3" width="12.1640625" bestFit="1" customWidth="1"/>
    <col min="4" max="4" width="13.1640625" customWidth="1"/>
    <col min="5" max="5" width="13.6640625" customWidth="1"/>
  </cols>
  <sheetData>
    <row r="1" spans="1:8" ht="28" customHeight="1" x14ac:dyDescent="0.2">
      <c r="A1" s="9" t="s">
        <v>24</v>
      </c>
      <c r="B1" s="9" t="s">
        <v>25</v>
      </c>
      <c r="C1" s="9" t="s">
        <v>26</v>
      </c>
      <c r="D1" s="9" t="s">
        <v>27</v>
      </c>
      <c r="E1" s="9" t="s">
        <v>28</v>
      </c>
      <c r="F1" s="9" t="s">
        <v>29</v>
      </c>
      <c r="G1" s="8"/>
      <c r="H1" s="8"/>
    </row>
    <row r="2" spans="1:8" ht="24" x14ac:dyDescent="0.2">
      <c r="A2" s="10" t="s">
        <v>30</v>
      </c>
      <c r="B2" s="10">
        <v>0.2</v>
      </c>
      <c r="C2" s="10">
        <v>0.01</v>
      </c>
      <c r="D2" s="10">
        <v>5.0000000000000001E-3</v>
      </c>
      <c r="E2" s="10">
        <v>5.0000000000000001E-3</v>
      </c>
      <c r="F2" s="10">
        <v>163.80000000000001</v>
      </c>
      <c r="G2" s="8"/>
      <c r="H2" s="8"/>
    </row>
    <row r="3" spans="1:8" ht="24" x14ac:dyDescent="0.2">
      <c r="A3" s="10" t="s">
        <v>31</v>
      </c>
      <c r="B3" s="10">
        <v>0.4</v>
      </c>
      <c r="C3" s="10">
        <v>0.05</v>
      </c>
      <c r="D3" s="10">
        <v>1E-3</v>
      </c>
      <c r="E3" s="10">
        <v>3.0000000000000001E-3</v>
      </c>
      <c r="F3" s="10">
        <v>157.30000000000001</v>
      </c>
      <c r="G3" s="8"/>
      <c r="H3" s="8"/>
    </row>
    <row r="4" spans="1:8" ht="24" x14ac:dyDescent="0.2">
      <c r="A4" s="10" t="s">
        <v>42</v>
      </c>
      <c r="B4" s="10">
        <v>0.1</v>
      </c>
      <c r="C4" s="10">
        <v>0.06</v>
      </c>
      <c r="D4" s="10">
        <v>3.0000000000000001E-3</v>
      </c>
      <c r="E4" s="10">
        <v>4.0000000000000001E-3</v>
      </c>
      <c r="F4" s="10">
        <v>159.9</v>
      </c>
      <c r="G4" s="8"/>
      <c r="H4" s="8"/>
    </row>
    <row r="5" spans="1:8" ht="24" x14ac:dyDescent="0.2">
      <c r="A5" s="10"/>
      <c r="B5" s="10"/>
      <c r="C5" s="10"/>
      <c r="D5" s="10"/>
      <c r="E5" s="10"/>
      <c r="F5" s="10"/>
      <c r="G5" s="8"/>
      <c r="H5" s="8"/>
    </row>
    <row r="6" spans="1:8" ht="24" x14ac:dyDescent="0.2">
      <c r="A6" s="10"/>
      <c r="B6" s="10"/>
      <c r="C6" s="10"/>
      <c r="D6" s="10"/>
      <c r="E6" s="10"/>
      <c r="F6" s="10"/>
      <c r="G6" s="8"/>
      <c r="H6" s="8"/>
    </row>
    <row r="7" spans="1:8" ht="24" x14ac:dyDescent="0.2">
      <c r="A7" s="10"/>
      <c r="B7" s="10"/>
      <c r="C7" s="10"/>
      <c r="D7" s="10"/>
      <c r="E7" s="10"/>
      <c r="F7" s="10"/>
      <c r="G7" s="8"/>
      <c r="H7" s="8"/>
    </row>
    <row r="8" spans="1:8" ht="24" x14ac:dyDescent="0.2">
      <c r="A8" s="10"/>
      <c r="B8" s="10"/>
      <c r="C8" s="10"/>
      <c r="D8" s="10"/>
      <c r="E8" s="10"/>
      <c r="F8" s="10"/>
      <c r="G8" s="8"/>
      <c r="H8" s="8"/>
    </row>
    <row r="9" spans="1:8" ht="24" x14ac:dyDescent="0.2">
      <c r="A9" s="10"/>
      <c r="B9" s="10"/>
      <c r="C9" s="10"/>
      <c r="D9" s="10"/>
      <c r="E9" s="10"/>
      <c r="F9" s="10"/>
      <c r="G9" s="8"/>
      <c r="H9" s="8"/>
    </row>
    <row r="10" spans="1:8" ht="24" x14ac:dyDescent="0.2">
      <c r="A10" s="10"/>
      <c r="B10" s="10"/>
      <c r="C10" s="10"/>
      <c r="D10" s="10"/>
      <c r="E10" s="10"/>
      <c r="F10" s="10"/>
      <c r="G10" s="8"/>
      <c r="H10" s="8"/>
    </row>
    <row r="11" spans="1:8" ht="24" x14ac:dyDescent="0.2">
      <c r="A11" s="10"/>
      <c r="B11" s="10"/>
      <c r="C11" s="10"/>
      <c r="D11" s="10"/>
      <c r="E11" s="10"/>
      <c r="F11" s="10"/>
      <c r="G11" s="8"/>
      <c r="H11" s="8"/>
    </row>
    <row r="12" spans="1:8" ht="24" x14ac:dyDescent="0.2">
      <c r="A12" s="10"/>
      <c r="B12" s="10"/>
      <c r="C12" s="10"/>
      <c r="D12" s="10"/>
      <c r="E12" s="10"/>
      <c r="F12" s="10"/>
      <c r="G12" s="8"/>
      <c r="H12" s="8"/>
    </row>
    <row r="13" spans="1:8" ht="24" x14ac:dyDescent="0.2">
      <c r="A13" s="10"/>
      <c r="B13" s="10"/>
      <c r="C13" s="10"/>
      <c r="D13" s="10"/>
      <c r="E13" s="10"/>
      <c r="F13" s="10"/>
      <c r="G13" s="8"/>
      <c r="H13" s="8"/>
    </row>
    <row r="14" spans="1:8" ht="24" x14ac:dyDescent="0.2">
      <c r="A14" s="10"/>
      <c r="B14" s="10"/>
      <c r="C14" s="10"/>
      <c r="D14" s="10"/>
      <c r="E14" s="10"/>
      <c r="F14" s="10"/>
      <c r="G14" s="8"/>
      <c r="H14" s="8"/>
    </row>
    <row r="15" spans="1:8" ht="24" x14ac:dyDescent="0.2">
      <c r="A15" s="10"/>
      <c r="B15" s="10"/>
      <c r="C15" s="10"/>
      <c r="D15" s="10"/>
      <c r="E15" s="10"/>
      <c r="F15" s="10"/>
      <c r="G15" s="8"/>
      <c r="H15" s="8"/>
    </row>
    <row r="16" spans="1:8" ht="24" x14ac:dyDescent="0.2">
      <c r="A16" s="10"/>
      <c r="B16" s="10"/>
      <c r="C16" s="10"/>
      <c r="D16" s="10"/>
      <c r="E16" s="10"/>
      <c r="F16" s="10"/>
      <c r="G16" s="8"/>
      <c r="H16" s="8"/>
    </row>
    <row r="17" spans="1:8" ht="24" x14ac:dyDescent="0.2">
      <c r="A17" s="10"/>
      <c r="B17" s="10"/>
      <c r="C17" s="10"/>
      <c r="D17" s="10"/>
      <c r="E17" s="10"/>
      <c r="F17" s="10"/>
      <c r="G17" s="8"/>
      <c r="H17" s="8"/>
    </row>
    <row r="18" spans="1:8" ht="24" x14ac:dyDescent="0.2">
      <c r="A18" s="10"/>
      <c r="B18" s="10"/>
      <c r="C18" s="10"/>
      <c r="D18" s="10"/>
      <c r="E18" s="10"/>
      <c r="F18" s="10"/>
      <c r="G18" s="8"/>
      <c r="H18" s="8"/>
    </row>
    <row r="19" spans="1:8" ht="24" x14ac:dyDescent="0.2">
      <c r="A19" s="10"/>
      <c r="B19" s="10"/>
      <c r="C19" s="10"/>
      <c r="D19" s="10"/>
      <c r="E19" s="10"/>
      <c r="F19" s="10"/>
      <c r="G19" s="8"/>
      <c r="H19" s="8"/>
    </row>
    <row r="20" spans="1:8" ht="24" x14ac:dyDescent="0.2">
      <c r="A20" s="10"/>
      <c r="B20" s="10"/>
      <c r="C20" s="10"/>
      <c r="D20" s="10"/>
      <c r="E20" s="10"/>
      <c r="F20" s="10"/>
      <c r="G20" s="8"/>
      <c r="H20" s="8"/>
    </row>
    <row r="21" spans="1:8" ht="24" x14ac:dyDescent="0.2">
      <c r="A21" s="10"/>
      <c r="B21" s="10"/>
      <c r="C21" s="10"/>
      <c r="D21" s="10"/>
      <c r="E21" s="10"/>
      <c r="F21" s="10"/>
      <c r="G21" s="8"/>
      <c r="H21" s="8"/>
    </row>
    <row r="22" spans="1:8" ht="24" x14ac:dyDescent="0.2">
      <c r="A22" s="10"/>
      <c r="B22" s="10"/>
      <c r="C22" s="10"/>
      <c r="D22" s="10"/>
      <c r="E22" s="10"/>
      <c r="F22" s="10"/>
      <c r="G22" s="8"/>
      <c r="H22" s="8"/>
    </row>
    <row r="23" spans="1:8" ht="24" x14ac:dyDescent="0.2">
      <c r="A23" s="10"/>
      <c r="B23" s="10"/>
      <c r="C23" s="10"/>
      <c r="D23" s="10"/>
      <c r="E23" s="10"/>
      <c r="F23" s="10"/>
      <c r="G23" s="8"/>
      <c r="H23" s="8"/>
    </row>
    <row r="24" spans="1:8" ht="24" x14ac:dyDescent="0.2">
      <c r="A24" s="10"/>
      <c r="B24" s="10"/>
      <c r="C24" s="10"/>
      <c r="D24" s="10"/>
      <c r="E24" s="10"/>
      <c r="F24" s="10"/>
      <c r="G24" s="8"/>
      <c r="H24" s="8"/>
    </row>
    <row r="25" spans="1:8" ht="24" x14ac:dyDescent="0.2">
      <c r="A25" s="10"/>
      <c r="B25" s="10"/>
      <c r="C25" s="10"/>
      <c r="D25" s="10"/>
      <c r="E25" s="10"/>
      <c r="F25" s="10"/>
      <c r="G25" s="8"/>
      <c r="H25" s="8"/>
    </row>
    <row r="26" spans="1:8" ht="24" x14ac:dyDescent="0.2">
      <c r="A26" s="10"/>
      <c r="B26" s="10"/>
      <c r="C26" s="10"/>
      <c r="D26" s="10"/>
      <c r="E26" s="10"/>
      <c r="F26" s="10"/>
      <c r="G26" s="8"/>
      <c r="H26" s="8"/>
    </row>
    <row r="27" spans="1:8" ht="24" x14ac:dyDescent="0.2">
      <c r="A27" s="10"/>
      <c r="B27" s="10"/>
      <c r="C27" s="10"/>
      <c r="D27" s="10"/>
      <c r="E27" s="10"/>
      <c r="F27" s="10"/>
      <c r="G27" s="8"/>
      <c r="H27" s="8"/>
    </row>
    <row r="28" spans="1:8" ht="24" x14ac:dyDescent="0.2">
      <c r="A28" s="10"/>
      <c r="B28" s="10"/>
      <c r="C28" s="10"/>
      <c r="D28" s="10"/>
      <c r="E28" s="10"/>
      <c r="F28" s="10"/>
      <c r="G28" s="8"/>
      <c r="H28" s="8"/>
    </row>
    <row r="29" spans="1:8" ht="24" x14ac:dyDescent="0.2">
      <c r="A29" s="10"/>
      <c r="B29" s="10"/>
      <c r="C29" s="10"/>
      <c r="D29" s="10"/>
      <c r="E29" s="10"/>
      <c r="F29" s="10"/>
      <c r="G29" s="8"/>
      <c r="H29" s="8"/>
    </row>
    <row r="30" spans="1:8" ht="24" x14ac:dyDescent="0.2">
      <c r="A30" s="10"/>
      <c r="B30" s="10"/>
      <c r="C30" s="10"/>
      <c r="D30" s="10"/>
      <c r="E30" s="10"/>
      <c r="F30" s="10"/>
      <c r="G30" s="8"/>
      <c r="H30" s="8"/>
    </row>
    <row r="31" spans="1:8" ht="24" x14ac:dyDescent="0.2">
      <c r="A31" s="10"/>
      <c r="B31" s="10"/>
      <c r="C31" s="10"/>
      <c r="D31" s="10"/>
      <c r="E31" s="10"/>
      <c r="F31" s="10"/>
      <c r="G31" s="8"/>
      <c r="H31" s="8"/>
    </row>
    <row r="32" spans="1:8" ht="24" x14ac:dyDescent="0.2">
      <c r="A32" s="10"/>
      <c r="B32" s="10"/>
      <c r="C32" s="10"/>
      <c r="D32" s="10"/>
      <c r="E32" s="10"/>
      <c r="F32" s="10"/>
      <c r="G32" s="8"/>
      <c r="H32" s="8"/>
    </row>
    <row r="33" spans="1:8" ht="24" x14ac:dyDescent="0.2">
      <c r="A33" s="10"/>
      <c r="B33" s="10"/>
      <c r="C33" s="10"/>
      <c r="D33" s="10"/>
      <c r="E33" s="10"/>
      <c r="F33" s="10"/>
      <c r="G33" s="8"/>
      <c r="H33" s="8"/>
    </row>
    <row r="34" spans="1:8" ht="24" x14ac:dyDescent="0.2">
      <c r="A34" s="10"/>
      <c r="B34" s="10"/>
      <c r="C34" s="10"/>
      <c r="D34" s="10"/>
      <c r="E34" s="10"/>
      <c r="F34" s="10"/>
      <c r="G34" s="8"/>
      <c r="H34" s="8"/>
    </row>
    <row r="35" spans="1:8" ht="24" x14ac:dyDescent="0.2">
      <c r="A35" s="10"/>
      <c r="B35" s="10"/>
      <c r="C35" s="10"/>
      <c r="D35" s="10"/>
      <c r="E35" s="10"/>
      <c r="F35" s="10"/>
      <c r="G35" s="8"/>
      <c r="H35" s="8"/>
    </row>
    <row r="36" spans="1:8" ht="24" x14ac:dyDescent="0.2">
      <c r="A36" s="10"/>
      <c r="B36" s="10"/>
      <c r="C36" s="10"/>
      <c r="D36" s="10"/>
      <c r="E36" s="10"/>
      <c r="F36" s="10"/>
      <c r="G36" s="8"/>
      <c r="H36" s="8"/>
    </row>
    <row r="37" spans="1:8" ht="24" x14ac:dyDescent="0.2">
      <c r="A37" s="8"/>
      <c r="B37" s="8"/>
      <c r="C37" s="8"/>
      <c r="D37" s="8"/>
      <c r="E37" s="8"/>
      <c r="F37" s="8"/>
      <c r="G37" s="8"/>
      <c r="H37" s="8"/>
    </row>
    <row r="38" spans="1:8" ht="24" x14ac:dyDescent="0.2">
      <c r="A38" s="8"/>
      <c r="B38" s="8"/>
      <c r="C38" s="8"/>
      <c r="D38" s="8"/>
      <c r="E38" s="8"/>
      <c r="F38" s="8"/>
      <c r="G38" s="8"/>
      <c r="H38" s="8"/>
    </row>
    <row r="39" spans="1:8" ht="24" x14ac:dyDescent="0.2">
      <c r="A39" s="8"/>
      <c r="B39" s="8"/>
      <c r="C39" s="8"/>
      <c r="D39" s="8"/>
      <c r="E39" s="8"/>
      <c r="F39" s="8"/>
      <c r="G39" s="8"/>
      <c r="H39" s="8"/>
    </row>
    <row r="40" spans="1:8" ht="24" x14ac:dyDescent="0.2">
      <c r="A40" s="8"/>
      <c r="B40" s="8"/>
      <c r="C40" s="8"/>
      <c r="D40" s="8"/>
      <c r="E40" s="8"/>
      <c r="F40" s="8"/>
      <c r="G40" s="8"/>
      <c r="H40" s="8"/>
    </row>
    <row r="41" spans="1:8" ht="24" x14ac:dyDescent="0.2">
      <c r="A41" s="8"/>
      <c r="B41" s="8"/>
      <c r="C41" s="8"/>
      <c r="D41" s="8"/>
      <c r="E41" s="8"/>
      <c r="F41" s="8"/>
      <c r="G41" s="8"/>
      <c r="H41" s="8"/>
    </row>
    <row r="42" spans="1:8" ht="24" x14ac:dyDescent="0.2">
      <c r="A42" s="8"/>
      <c r="B42" s="8"/>
      <c r="C42" s="8"/>
      <c r="D42" s="8"/>
      <c r="E42" s="8"/>
      <c r="F42" s="8"/>
      <c r="G42" s="8"/>
      <c r="H42" s="8"/>
    </row>
    <row r="43" spans="1:8" ht="24" x14ac:dyDescent="0.2">
      <c r="A43" s="8"/>
      <c r="B43" s="8"/>
      <c r="C43" s="8"/>
      <c r="D43" s="8"/>
      <c r="E43" s="8"/>
      <c r="F43" s="8"/>
      <c r="G43" s="8"/>
      <c r="H43" s="8"/>
    </row>
    <row r="44" spans="1:8" ht="24" x14ac:dyDescent="0.2">
      <c r="A44" s="8"/>
      <c r="B44" s="8"/>
      <c r="C44" s="8"/>
      <c r="D44" s="8"/>
      <c r="E44" s="8"/>
      <c r="F44" s="8"/>
      <c r="G44" s="8"/>
      <c r="H44" s="8"/>
    </row>
    <row r="45" spans="1:8" ht="24" x14ac:dyDescent="0.2">
      <c r="A45" s="8"/>
      <c r="B45" s="8"/>
      <c r="C45" s="8"/>
      <c r="D45" s="8"/>
      <c r="E45" s="8"/>
      <c r="F45" s="8"/>
      <c r="G45" s="8"/>
      <c r="H45" s="8"/>
    </row>
    <row r="46" spans="1:8" ht="24" x14ac:dyDescent="0.2">
      <c r="A46" s="8"/>
      <c r="B46" s="8"/>
      <c r="C46" s="8"/>
      <c r="D46" s="8"/>
      <c r="E46" s="8"/>
      <c r="F46" s="8"/>
      <c r="G46" s="8"/>
      <c r="H46" s="8"/>
    </row>
    <row r="47" spans="1:8" ht="24" x14ac:dyDescent="0.2">
      <c r="A47" s="8"/>
      <c r="B47" s="8"/>
      <c r="C47" s="8"/>
      <c r="D47" s="8"/>
      <c r="E47" s="8"/>
      <c r="F47" s="8"/>
      <c r="G47" s="8"/>
      <c r="H47" s="8"/>
    </row>
    <row r="48" spans="1:8" ht="24" x14ac:dyDescent="0.2">
      <c r="A48" s="8"/>
      <c r="B48" s="8"/>
      <c r="C48" s="8"/>
      <c r="D48" s="8"/>
      <c r="E48" s="8"/>
      <c r="F48" s="8"/>
      <c r="G48" s="8"/>
      <c r="H48" s="8"/>
    </row>
    <row r="49" spans="1:8" ht="24" x14ac:dyDescent="0.2">
      <c r="A49" s="8"/>
      <c r="B49" s="8"/>
      <c r="C49" s="8"/>
      <c r="D49" s="8"/>
      <c r="E49" s="8"/>
      <c r="F49" s="8"/>
      <c r="G49" s="8"/>
      <c r="H49" s="8"/>
    </row>
    <row r="50" spans="1:8" ht="24" x14ac:dyDescent="0.2">
      <c r="A50" s="8"/>
      <c r="B50" s="8"/>
      <c r="C50" s="8"/>
      <c r="D50" s="8"/>
      <c r="E50" s="8"/>
      <c r="F50" s="8"/>
      <c r="G50" s="8"/>
      <c r="H50" s="8"/>
    </row>
    <row r="51" spans="1:8" ht="24" x14ac:dyDescent="0.2">
      <c r="A51" s="8"/>
      <c r="B51" s="8"/>
      <c r="C51" s="8"/>
      <c r="D51" s="8"/>
      <c r="E51" s="8"/>
      <c r="F51" s="8"/>
      <c r="G51" s="8"/>
      <c r="H51" s="8"/>
    </row>
    <row r="52" spans="1:8" ht="24" x14ac:dyDescent="0.2">
      <c r="A52" s="8"/>
      <c r="B52" s="8"/>
      <c r="C52" s="8"/>
      <c r="D52" s="8"/>
      <c r="E52" s="8"/>
      <c r="F52" s="8"/>
      <c r="G52" s="8"/>
      <c r="H52" s="8"/>
    </row>
    <row r="53" spans="1:8" ht="24" x14ac:dyDescent="0.2">
      <c r="A53" s="8"/>
      <c r="B53" s="8"/>
      <c r="C53" s="8"/>
      <c r="D53" s="8"/>
      <c r="E53" s="8"/>
      <c r="F53" s="8"/>
      <c r="G53" s="8"/>
      <c r="H53" s="8"/>
    </row>
    <row r="54" spans="1:8" ht="24" x14ac:dyDescent="0.2">
      <c r="A54" s="8"/>
      <c r="B54" s="8"/>
      <c r="C54" s="8"/>
      <c r="D54" s="8"/>
      <c r="E54" s="8"/>
      <c r="F54" s="8"/>
      <c r="G54" s="8"/>
      <c r="H54" s="8"/>
    </row>
    <row r="55" spans="1:8" ht="24" x14ac:dyDescent="0.2">
      <c r="A55" s="8"/>
      <c r="B55" s="8"/>
      <c r="C55" s="8"/>
      <c r="D55" s="8"/>
      <c r="E55" s="8"/>
      <c r="F55" s="8"/>
      <c r="G55" s="8"/>
      <c r="H55" s="8"/>
    </row>
    <row r="56" spans="1:8" ht="24" x14ac:dyDescent="0.2">
      <c r="A56" s="8"/>
      <c r="B56" s="8"/>
      <c r="C56" s="8"/>
      <c r="D56" s="8"/>
      <c r="E56" s="8"/>
      <c r="F56" s="8"/>
      <c r="G56" s="8"/>
      <c r="H56" s="8"/>
    </row>
    <row r="57" spans="1:8" ht="24" x14ac:dyDescent="0.2">
      <c r="A57" s="8"/>
      <c r="B57" s="8"/>
      <c r="C57" s="8"/>
      <c r="D57" s="8"/>
      <c r="E57" s="8"/>
      <c r="F57" s="8"/>
      <c r="G57" s="8"/>
      <c r="H57" s="8"/>
    </row>
    <row r="58" spans="1:8" ht="24" x14ac:dyDescent="0.2">
      <c r="A58" s="8"/>
      <c r="B58" s="8"/>
      <c r="C58" s="8"/>
      <c r="D58" s="8"/>
      <c r="E58" s="8"/>
      <c r="F58" s="8"/>
      <c r="G58" s="8"/>
      <c r="H58" s="8"/>
    </row>
    <row r="59" spans="1:8" ht="24" x14ac:dyDescent="0.2">
      <c r="A59" s="8"/>
      <c r="B59" s="8"/>
      <c r="C59" s="8"/>
      <c r="D59" s="8"/>
      <c r="E59" s="8"/>
      <c r="F59" s="8"/>
      <c r="G59" s="8"/>
      <c r="H59" s="8"/>
    </row>
    <row r="60" spans="1:8" ht="24" x14ac:dyDescent="0.2">
      <c r="A60" s="8"/>
      <c r="B60" s="8"/>
      <c r="C60" s="8"/>
      <c r="D60" s="8"/>
      <c r="E60" s="8"/>
      <c r="F60" s="8"/>
      <c r="G60" s="8"/>
      <c r="H60" s="8"/>
    </row>
    <row r="61" spans="1:8" ht="24" x14ac:dyDescent="0.2">
      <c r="A61" s="8"/>
      <c r="B61" s="8"/>
      <c r="C61" s="8"/>
      <c r="D61" s="8"/>
      <c r="E61" s="8"/>
      <c r="F61" s="8"/>
      <c r="G61" s="8"/>
      <c r="H61" s="8"/>
    </row>
    <row r="62" spans="1:8" ht="24" x14ac:dyDescent="0.2">
      <c r="A62" s="8"/>
      <c r="B62" s="8"/>
      <c r="C62" s="8"/>
      <c r="D62" s="8"/>
      <c r="E62" s="8"/>
      <c r="F62" s="8"/>
      <c r="G62" s="8"/>
      <c r="H62" s="8"/>
    </row>
    <row r="63" spans="1:8" ht="24" x14ac:dyDescent="0.2">
      <c r="A63" s="8"/>
      <c r="B63" s="8"/>
      <c r="C63" s="8"/>
      <c r="D63" s="8"/>
      <c r="E63" s="8"/>
      <c r="F63" s="8"/>
      <c r="G63" s="8"/>
      <c r="H63" s="8"/>
    </row>
    <row r="64" spans="1:8" ht="24" x14ac:dyDescent="0.2">
      <c r="A64" s="8"/>
      <c r="B64" s="8"/>
      <c r="C64" s="8"/>
      <c r="D64" s="8"/>
      <c r="E64" s="8"/>
      <c r="F64" s="8"/>
      <c r="G64" s="8"/>
      <c r="H64" s="8"/>
    </row>
    <row r="65" spans="1:8" ht="24" x14ac:dyDescent="0.2">
      <c r="A65" s="8"/>
      <c r="B65" s="8"/>
      <c r="C65" s="8"/>
      <c r="D65" s="8"/>
      <c r="E65" s="8"/>
      <c r="F65" s="8"/>
      <c r="G65" s="8"/>
      <c r="H65" s="8"/>
    </row>
    <row r="66" spans="1:8" ht="24" x14ac:dyDescent="0.2">
      <c r="A66" s="8"/>
      <c r="B66" s="8"/>
      <c r="C66" s="8"/>
      <c r="D66" s="8"/>
      <c r="E66" s="8"/>
      <c r="F66" s="8"/>
      <c r="G66" s="8"/>
      <c r="H66" s="8"/>
    </row>
    <row r="67" spans="1:8" ht="24" x14ac:dyDescent="0.2">
      <c r="A67" s="8"/>
      <c r="B67" s="8"/>
      <c r="C67" s="8"/>
      <c r="D67" s="8"/>
      <c r="E67" s="8"/>
      <c r="F67" s="8"/>
      <c r="G67" s="8"/>
      <c r="H67" s="8"/>
    </row>
    <row r="68" spans="1:8" ht="24" x14ac:dyDescent="0.2">
      <c r="A68" s="8"/>
      <c r="B68" s="8"/>
      <c r="C68" s="8"/>
      <c r="D68" s="8"/>
      <c r="E68" s="8"/>
      <c r="F68" s="8"/>
      <c r="G68" s="8"/>
      <c r="H68" s="8"/>
    </row>
    <row r="69" spans="1:8" ht="24" x14ac:dyDescent="0.2">
      <c r="A69" s="8"/>
      <c r="B69" s="8"/>
      <c r="C69" s="8"/>
      <c r="D69" s="8"/>
      <c r="E69" s="8"/>
      <c r="F69" s="8"/>
      <c r="G69" s="8"/>
      <c r="H69" s="8"/>
    </row>
    <row r="70" spans="1:8" ht="24" x14ac:dyDescent="0.2">
      <c r="A70" s="8"/>
      <c r="B70" s="8"/>
      <c r="C70" s="8"/>
      <c r="D70" s="8"/>
      <c r="E70" s="8"/>
      <c r="F70" s="8"/>
      <c r="G70" s="8"/>
      <c r="H70" s="8"/>
    </row>
    <row r="71" spans="1:8" ht="24" x14ac:dyDescent="0.2">
      <c r="A71" s="8"/>
      <c r="B71" s="8"/>
      <c r="C71" s="8"/>
      <c r="D71" s="8"/>
      <c r="E71" s="8"/>
      <c r="F71" s="8"/>
      <c r="G71" s="8"/>
      <c r="H71" s="8"/>
    </row>
    <row r="72" spans="1:8" ht="24" x14ac:dyDescent="0.2">
      <c r="A72" s="8"/>
      <c r="B72" s="8"/>
      <c r="C72" s="8"/>
      <c r="D72" s="8"/>
      <c r="E72" s="8"/>
      <c r="F72" s="8"/>
      <c r="G72" s="8"/>
      <c r="H72" s="8"/>
    </row>
    <row r="73" spans="1:8" ht="24" x14ac:dyDescent="0.2">
      <c r="A73" s="8"/>
      <c r="B73" s="8"/>
      <c r="C73" s="8"/>
      <c r="D73" s="8"/>
      <c r="E73" s="8"/>
      <c r="F73" s="8"/>
      <c r="G73" s="8"/>
      <c r="H73" s="8"/>
    </row>
    <row r="74" spans="1:8" ht="24" x14ac:dyDescent="0.2">
      <c r="A74" s="8"/>
      <c r="B74" s="8"/>
      <c r="C74" s="8"/>
      <c r="D74" s="8"/>
      <c r="E74" s="8"/>
      <c r="F74" s="8"/>
      <c r="G74" s="8"/>
      <c r="H74" s="8"/>
    </row>
    <row r="75" spans="1:8" ht="24" x14ac:dyDescent="0.2">
      <c r="A75" s="8"/>
      <c r="B75" s="8"/>
      <c r="C75" s="8"/>
      <c r="D75" s="8"/>
      <c r="E75" s="8"/>
      <c r="F75" s="8"/>
      <c r="G75" s="8"/>
      <c r="H75" s="8"/>
    </row>
    <row r="76" spans="1:8" ht="24" x14ac:dyDescent="0.2">
      <c r="A76" s="8"/>
      <c r="B76" s="8"/>
      <c r="C76" s="8"/>
      <c r="D76" s="8"/>
      <c r="E76" s="8"/>
      <c r="F76" s="8"/>
      <c r="G76" s="8"/>
      <c r="H76" s="8"/>
    </row>
    <row r="77" spans="1:8" ht="24" x14ac:dyDescent="0.2">
      <c r="A77" s="8"/>
      <c r="B77" s="8"/>
      <c r="C77" s="8"/>
      <c r="D77" s="8"/>
      <c r="E77" s="8"/>
      <c r="F77" s="8"/>
      <c r="G77" s="8"/>
      <c r="H77" s="8"/>
    </row>
    <row r="78" spans="1:8" ht="24" x14ac:dyDescent="0.2">
      <c r="A78" s="8"/>
      <c r="B78" s="8"/>
      <c r="C78" s="8"/>
      <c r="D78" s="8"/>
      <c r="E78" s="8"/>
      <c r="F78" s="8"/>
      <c r="G78" s="8"/>
      <c r="H78" s="8"/>
    </row>
    <row r="79" spans="1:8" ht="24" x14ac:dyDescent="0.2">
      <c r="A79" s="8"/>
      <c r="B79" s="8"/>
      <c r="C79" s="8"/>
      <c r="D79" s="8"/>
      <c r="E79" s="8"/>
      <c r="F79" s="8"/>
      <c r="G79" s="8"/>
      <c r="H79" s="8"/>
    </row>
    <row r="80" spans="1:8" ht="24" x14ac:dyDescent="0.2">
      <c r="A80" s="8"/>
      <c r="B80" s="8"/>
      <c r="C80" s="8"/>
      <c r="D80" s="8"/>
      <c r="E80" s="8"/>
      <c r="F80" s="8"/>
      <c r="G80" s="8"/>
      <c r="H80" s="8"/>
    </row>
    <row r="81" spans="1:8" ht="24" x14ac:dyDescent="0.2">
      <c r="A81" s="8"/>
      <c r="B81" s="8"/>
      <c r="C81" s="8"/>
      <c r="D81" s="8"/>
      <c r="E81" s="8"/>
      <c r="F81" s="8"/>
      <c r="G81" s="8"/>
      <c r="H81" s="8"/>
    </row>
    <row r="82" spans="1:8" ht="24" x14ac:dyDescent="0.2">
      <c r="A82" s="8"/>
      <c r="B82" s="8"/>
      <c r="C82" s="8"/>
      <c r="D82" s="8"/>
      <c r="E82" s="8"/>
      <c r="F82" s="8"/>
      <c r="G82" s="8"/>
      <c r="H82" s="8"/>
    </row>
    <row r="83" spans="1:8" ht="24" x14ac:dyDescent="0.2">
      <c r="A83" s="8"/>
      <c r="B83" s="8"/>
      <c r="C83" s="8"/>
      <c r="D83" s="8"/>
      <c r="E83" s="8"/>
      <c r="F83" s="8"/>
      <c r="G83" s="8"/>
      <c r="H83" s="8"/>
    </row>
    <row r="84" spans="1:8" ht="24" x14ac:dyDescent="0.2">
      <c r="A84" s="8"/>
      <c r="B84" s="8"/>
      <c r="C84" s="8"/>
      <c r="D84" s="8"/>
      <c r="E84" s="8"/>
      <c r="F84" s="8"/>
      <c r="G84" s="8"/>
      <c r="H84" s="8"/>
    </row>
    <row r="85" spans="1:8" ht="24" x14ac:dyDescent="0.2">
      <c r="A85" s="8"/>
      <c r="B85" s="8"/>
      <c r="C85" s="8"/>
      <c r="D85" s="8"/>
      <c r="E85" s="8"/>
      <c r="F85" s="8"/>
      <c r="G85" s="8"/>
      <c r="H85" s="8"/>
    </row>
    <row r="86" spans="1:8" ht="24" x14ac:dyDescent="0.2">
      <c r="A86" s="8"/>
      <c r="B86" s="8"/>
      <c r="C86" s="8"/>
      <c r="D86" s="8"/>
      <c r="E86" s="8"/>
      <c r="F86" s="8"/>
      <c r="G86" s="8"/>
      <c r="H86" s="8"/>
    </row>
    <row r="87" spans="1:8" ht="24" x14ac:dyDescent="0.2">
      <c r="A87" s="8"/>
      <c r="B87" s="8"/>
      <c r="C87" s="8"/>
      <c r="D87" s="8"/>
      <c r="E87" s="8"/>
      <c r="F87" s="8"/>
      <c r="G87" s="8"/>
      <c r="H87" s="8"/>
    </row>
    <row r="88" spans="1:8" ht="24" x14ac:dyDescent="0.2">
      <c r="A88" s="8"/>
      <c r="B88" s="8"/>
      <c r="C88" s="8"/>
      <c r="D88" s="8"/>
      <c r="E88" s="8"/>
      <c r="F88" s="8"/>
      <c r="G88" s="8"/>
      <c r="H88" s="8"/>
    </row>
    <row r="89" spans="1:8" ht="24" x14ac:dyDescent="0.2">
      <c r="A89" s="8"/>
      <c r="B89" s="8"/>
      <c r="C89" s="8"/>
      <c r="D89" s="8"/>
      <c r="E89" s="8"/>
      <c r="F89" s="8"/>
      <c r="G89" s="8"/>
      <c r="H89" s="8"/>
    </row>
    <row r="90" spans="1:8" ht="24" x14ac:dyDescent="0.2">
      <c r="A90" s="8"/>
      <c r="B90" s="8"/>
      <c r="C90" s="8"/>
      <c r="D90" s="8"/>
      <c r="E90" s="8"/>
      <c r="F90" s="8"/>
      <c r="G90" s="8"/>
      <c r="H90" s="8"/>
    </row>
    <row r="91" spans="1:8" ht="24" x14ac:dyDescent="0.2">
      <c r="A91" s="8"/>
      <c r="B91" s="8"/>
      <c r="C91" s="8"/>
      <c r="D91" s="8"/>
      <c r="E91" s="8"/>
      <c r="F91" s="8"/>
      <c r="G91" s="8"/>
      <c r="H91" s="8"/>
    </row>
    <row r="92" spans="1:8" ht="24" x14ac:dyDescent="0.2">
      <c r="A92" s="8"/>
      <c r="B92" s="8"/>
      <c r="C92" s="8"/>
      <c r="D92" s="8"/>
      <c r="E92" s="8"/>
      <c r="F92" s="8"/>
      <c r="G92" s="8"/>
      <c r="H92" s="8"/>
    </row>
    <row r="93" spans="1:8" ht="24" x14ac:dyDescent="0.2">
      <c r="A93" s="8"/>
      <c r="B93" s="8"/>
      <c r="C93" s="8"/>
      <c r="D93" s="8"/>
      <c r="E93" s="8"/>
      <c r="F93" s="8"/>
      <c r="G93" s="8"/>
      <c r="H93" s="8"/>
    </row>
    <row r="94" spans="1:8" ht="24" x14ac:dyDescent="0.2">
      <c r="A94" s="8"/>
      <c r="B94" s="8"/>
      <c r="C94" s="8"/>
      <c r="D94" s="8"/>
      <c r="E94" s="8"/>
      <c r="F94" s="8"/>
      <c r="G94" s="8"/>
      <c r="H94" s="8"/>
    </row>
    <row r="95" spans="1:8" ht="24" x14ac:dyDescent="0.2">
      <c r="A95" s="8"/>
      <c r="B95" s="8"/>
      <c r="C95" s="8"/>
      <c r="D95" s="8"/>
      <c r="E95" s="8"/>
      <c r="F95" s="8"/>
      <c r="G95" s="8"/>
      <c r="H95" s="8"/>
    </row>
    <row r="96" spans="1:8" ht="24" x14ac:dyDescent="0.2">
      <c r="A96" s="8"/>
      <c r="B96" s="8"/>
      <c r="C96" s="8"/>
      <c r="D96" s="8"/>
      <c r="E96" s="8"/>
      <c r="F96" s="8"/>
      <c r="G96" s="8"/>
      <c r="H96" s="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F091-D7C9-D641-BD8B-625C60ECF60E}">
  <dimension ref="A1:O14"/>
  <sheetViews>
    <sheetView zoomScale="135" workbookViewId="0">
      <selection activeCell="O7" sqref="O7"/>
    </sheetView>
  </sheetViews>
  <sheetFormatPr baseColWidth="10" defaultRowHeight="16" x14ac:dyDescent="0.2"/>
  <cols>
    <col min="1" max="1" width="5.6640625" customWidth="1"/>
    <col min="2" max="2" width="12.1640625" customWidth="1"/>
    <col min="3" max="3" width="12.33203125" customWidth="1"/>
    <col min="4" max="4" width="12.1640625" customWidth="1"/>
    <col min="5" max="5" width="13.6640625" customWidth="1"/>
    <col min="7" max="7" width="7.6640625" customWidth="1"/>
    <col min="8" max="8" width="7.33203125" customWidth="1"/>
    <col min="11" max="11" width="15.5" customWidth="1"/>
    <col min="12" max="12" width="18.1640625" customWidth="1"/>
  </cols>
  <sheetData>
    <row r="1" spans="1:15" x14ac:dyDescent="0.2">
      <c r="A1" t="s">
        <v>5</v>
      </c>
      <c r="B1" t="s">
        <v>10</v>
      </c>
      <c r="C1" t="s">
        <v>11</v>
      </c>
      <c r="D1" t="s">
        <v>15</v>
      </c>
      <c r="E1" t="s">
        <v>12</v>
      </c>
      <c r="F1" t="s">
        <v>14</v>
      </c>
      <c r="G1" t="s">
        <v>16</v>
      </c>
      <c r="H1" t="s">
        <v>19</v>
      </c>
      <c r="I1" t="s">
        <v>20</v>
      </c>
      <c r="J1" t="s">
        <v>21</v>
      </c>
      <c r="K1" t="s">
        <v>23</v>
      </c>
      <c r="L1" t="s">
        <v>22</v>
      </c>
      <c r="N1" t="s">
        <v>44</v>
      </c>
      <c r="O1" t="s">
        <v>45</v>
      </c>
    </row>
    <row r="2" spans="1:15" x14ac:dyDescent="0.2">
      <c r="A2">
        <v>7</v>
      </c>
      <c r="B2">
        <f>SUM('T7'!$C$2:$C$51)</f>
        <v>2.4570833333333293</v>
      </c>
      <c r="C2">
        <f>SUM('T7'!D2:D51)</f>
        <v>56.358199999999947</v>
      </c>
      <c r="D2">
        <f>SUM('T7'!G2:G51)</f>
        <v>9.7216999999999931</v>
      </c>
      <c r="E2">
        <f t="shared" ref="E2:E14" si="0">C2-B2</f>
        <v>53.901116666666617</v>
      </c>
      <c r="F2">
        <f t="shared" ref="F2:F14" si="1">C2-D2</f>
        <v>46.636499999999955</v>
      </c>
      <c r="G2" s="7">
        <v>58.108600000000003</v>
      </c>
      <c r="H2" s="7">
        <v>0.22439999999999999</v>
      </c>
      <c r="I2" s="7">
        <v>0.22439999999999999</v>
      </c>
      <c r="J2" s="7">
        <v>0.22439999999999999</v>
      </c>
      <c r="K2" s="7">
        <v>0.108</v>
      </c>
      <c r="L2" s="7">
        <v>8.7300000000000003E-2</v>
      </c>
      <c r="N2">
        <f>J2/H2</f>
        <v>1</v>
      </c>
      <c r="O2">
        <f>I2/H2</f>
        <v>1</v>
      </c>
    </row>
    <row r="3" spans="1:15" x14ac:dyDescent="0.2">
      <c r="A3">
        <v>8</v>
      </c>
      <c r="B3">
        <f>SUM('T8'!$C$2:$C$51)</f>
        <v>11.615183333333308</v>
      </c>
      <c r="C3">
        <f>SUM('T8'!D2:D51)</f>
        <v>59.664366666666595</v>
      </c>
      <c r="D3">
        <f>SUM('T8'!G2:G51)</f>
        <v>12.377083333333321</v>
      </c>
      <c r="E3">
        <f t="shared" si="0"/>
        <v>48.049183333333289</v>
      </c>
      <c r="F3">
        <f t="shared" si="1"/>
        <v>47.287283333333278</v>
      </c>
      <c r="G3" s="7">
        <v>59.09</v>
      </c>
      <c r="H3" s="7">
        <v>0.21299999999999999</v>
      </c>
      <c r="I3" s="7">
        <v>0.21299999999999999</v>
      </c>
      <c r="J3" s="7">
        <v>0.21299999999999999</v>
      </c>
      <c r="K3" s="7">
        <v>0.24440000000000001</v>
      </c>
      <c r="L3" s="7">
        <v>0.19650000000000001</v>
      </c>
      <c r="N3">
        <f t="shared" ref="N3:N14" si="2">J3/H3</f>
        <v>1</v>
      </c>
      <c r="O3">
        <f t="shared" ref="O3:O14" si="3">I3/H3</f>
        <v>1</v>
      </c>
    </row>
    <row r="4" spans="1:15" x14ac:dyDescent="0.2">
      <c r="A4">
        <v>9</v>
      </c>
      <c r="B4">
        <f>SUM('T9'!$C$2:$C$51)</f>
        <v>28.505583333333277</v>
      </c>
      <c r="C4">
        <f>SUM('T9'!D2:D51)</f>
        <v>64.530099999999905</v>
      </c>
      <c r="D4">
        <f>SUM('T9'!G2:G51)</f>
        <v>12.377083333333321</v>
      </c>
      <c r="E4">
        <f t="shared" si="0"/>
        <v>36.024516666666628</v>
      </c>
      <c r="F4">
        <f t="shared" si="1"/>
        <v>52.153016666666588</v>
      </c>
      <c r="G4" s="7">
        <v>76.872799999999998</v>
      </c>
      <c r="H4" s="7">
        <v>0.2286</v>
      </c>
      <c r="I4" s="7">
        <v>0.2286</v>
      </c>
      <c r="J4" s="7">
        <v>0.2286</v>
      </c>
      <c r="K4" s="7">
        <v>0.54159999999999997</v>
      </c>
      <c r="L4" s="7">
        <v>0.30420000000000003</v>
      </c>
      <c r="N4">
        <f t="shared" si="2"/>
        <v>1</v>
      </c>
      <c r="O4">
        <f t="shared" si="3"/>
        <v>1</v>
      </c>
    </row>
    <row r="5" spans="1:15" x14ac:dyDescent="0.2">
      <c r="A5">
        <v>10</v>
      </c>
      <c r="B5">
        <f>SUM('T10'!$C$2:$C$51)</f>
        <v>46.091166666666602</v>
      </c>
      <c r="C5">
        <f>SUM('T10'!D2:D51)</f>
        <v>72.183016666666575</v>
      </c>
      <c r="D5">
        <f>SUM('T10'!G2:G51)</f>
        <v>19.996416666666629</v>
      </c>
      <c r="E5">
        <f t="shared" si="0"/>
        <v>26.091849999999972</v>
      </c>
      <c r="F5">
        <f t="shared" si="1"/>
        <v>52.186599999999942</v>
      </c>
      <c r="G5" s="7">
        <v>68.749300000000005</v>
      </c>
      <c r="H5" s="7">
        <v>0.21490000000000001</v>
      </c>
      <c r="I5" s="7">
        <v>0.1139</v>
      </c>
      <c r="J5" s="7">
        <v>0.2041</v>
      </c>
      <c r="K5" s="7">
        <v>0.74539999999999995</v>
      </c>
      <c r="L5" s="7">
        <v>0.36770000000000003</v>
      </c>
      <c r="N5">
        <f t="shared" si="2"/>
        <v>0.94974406700791059</v>
      </c>
      <c r="O5">
        <f t="shared" si="3"/>
        <v>0.53001395998138667</v>
      </c>
    </row>
    <row r="6" spans="1:15" x14ac:dyDescent="0.2">
      <c r="A6">
        <v>11</v>
      </c>
      <c r="B6">
        <f>SUM('T11'!$C$2:$C$51)</f>
        <v>60.247199999999914</v>
      </c>
      <c r="C6">
        <f>SUM('T11'!D2:D51)</f>
        <v>95.246616666666583</v>
      </c>
      <c r="D6">
        <f>SUM('T11'!G2:G51)</f>
        <v>36.15888333333325</v>
      </c>
      <c r="E6">
        <f t="shared" si="0"/>
        <v>34.999416666666669</v>
      </c>
      <c r="F6">
        <f t="shared" si="1"/>
        <v>59.087733333333333</v>
      </c>
      <c r="G6" s="7">
        <v>74.438900000000004</v>
      </c>
      <c r="H6" s="7">
        <v>0.21310000000000001</v>
      </c>
      <c r="I6" s="7">
        <v>0.1172</v>
      </c>
      <c r="J6" s="7">
        <v>0.20669999999999999</v>
      </c>
      <c r="K6" s="7">
        <v>0.79039999999999999</v>
      </c>
      <c r="L6" s="7">
        <v>0.4229</v>
      </c>
      <c r="N6">
        <f t="shared" si="2"/>
        <v>0.96996715157203184</v>
      </c>
      <c r="O6">
        <f t="shared" si="3"/>
        <v>0.54997653683716563</v>
      </c>
    </row>
    <row r="7" spans="1:15" x14ac:dyDescent="0.2">
      <c r="A7">
        <v>12</v>
      </c>
      <c r="B7">
        <f>SUM('T12'!$C$2:$C$51)</f>
        <v>68.371099999999942</v>
      </c>
      <c r="C7">
        <f>SUM('T12'!D2:D51)</f>
        <v>117.39896666666654</v>
      </c>
      <c r="D7">
        <f>SUM('T12'!G2:G51)</f>
        <v>45.887283333333272</v>
      </c>
      <c r="E7">
        <f t="shared" si="0"/>
        <v>49.027866666666597</v>
      </c>
      <c r="F7">
        <f t="shared" si="1"/>
        <v>71.511683333333266</v>
      </c>
      <c r="G7" s="7">
        <v>93.648200000000003</v>
      </c>
      <c r="H7" s="7">
        <v>0.21010000000000001</v>
      </c>
      <c r="I7" s="7">
        <v>0.1113</v>
      </c>
      <c r="J7" s="7">
        <v>0.20799999999999999</v>
      </c>
      <c r="K7" s="7">
        <v>0.96909999999999996</v>
      </c>
      <c r="L7" s="7">
        <v>0.43049999999999999</v>
      </c>
      <c r="N7">
        <f t="shared" si="2"/>
        <v>0.9900047596382674</v>
      </c>
      <c r="O7">
        <f t="shared" si="3"/>
        <v>0.52974773917182294</v>
      </c>
    </row>
    <row r="8" spans="1:15" x14ac:dyDescent="0.2">
      <c r="A8">
        <v>13</v>
      </c>
      <c r="B8">
        <f>SUM('T13'!$C$2:$C$51)</f>
        <v>73.822729629629592</v>
      </c>
      <c r="C8">
        <f>SUM('T13'!D2:D51)</f>
        <v>131.19522777777763</v>
      </c>
      <c r="D8">
        <f>SUM('T13'!G2:G51)</f>
        <v>59.169333333333242</v>
      </c>
      <c r="E8">
        <f t="shared" si="0"/>
        <v>57.37249814814804</v>
      </c>
      <c r="F8">
        <f t="shared" si="1"/>
        <v>72.02589444444439</v>
      </c>
      <c r="G8" s="7">
        <v>84.078199999999995</v>
      </c>
      <c r="H8" s="7">
        <v>0.20599999999999999</v>
      </c>
      <c r="I8" s="7">
        <v>0.1133</v>
      </c>
      <c r="J8" s="7">
        <v>0.2019</v>
      </c>
      <c r="K8" s="7">
        <v>1.0501</v>
      </c>
      <c r="L8" s="7">
        <v>0.46179999999999999</v>
      </c>
      <c r="N8">
        <f t="shared" si="2"/>
        <v>0.98009708737864076</v>
      </c>
      <c r="O8">
        <f t="shared" si="3"/>
        <v>0.55000000000000004</v>
      </c>
    </row>
    <row r="9" spans="1:15" x14ac:dyDescent="0.2">
      <c r="A9">
        <v>14</v>
      </c>
      <c r="B9">
        <f>SUM('T14'!$C$2:$C$51)</f>
        <v>78.739742424242365</v>
      </c>
      <c r="C9">
        <f>SUM('T14'!D2:D51)</f>
        <v>136.33199848484836</v>
      </c>
      <c r="D9">
        <f>SUM('T14'!G2:G51)</f>
        <v>64.392383333333285</v>
      </c>
      <c r="E9">
        <f t="shared" si="0"/>
        <v>57.59225606060599</v>
      </c>
      <c r="F9">
        <f t="shared" si="1"/>
        <v>71.939615151515071</v>
      </c>
      <c r="G9" s="7">
        <v>80.722700000000003</v>
      </c>
      <c r="H9" s="7">
        <v>0.20899999999999999</v>
      </c>
      <c r="I9" s="7">
        <v>0.115</v>
      </c>
      <c r="J9" s="7">
        <v>0.1986</v>
      </c>
      <c r="K9" s="7">
        <v>1.1158999999999999</v>
      </c>
      <c r="L9" s="7">
        <v>0.47689999999999999</v>
      </c>
      <c r="N9">
        <f t="shared" si="2"/>
        <v>0.95023923444976077</v>
      </c>
      <c r="O9">
        <f t="shared" si="3"/>
        <v>0.55023923444976086</v>
      </c>
    </row>
    <row r="10" spans="1:15" x14ac:dyDescent="0.2">
      <c r="A10">
        <v>15</v>
      </c>
      <c r="B10">
        <f>SUM('T15'!$C$2:$C$51)</f>
        <v>72.348559999999949</v>
      </c>
      <c r="C10">
        <f>SUM('T15'!D2:D51)</f>
        <v>153.76578999999981</v>
      </c>
      <c r="D10">
        <f>SUM('T15'!G2:G51)</f>
        <v>72.875599999999892</v>
      </c>
      <c r="E10">
        <f t="shared" si="0"/>
        <v>81.417229999999861</v>
      </c>
      <c r="F10">
        <f t="shared" si="1"/>
        <v>80.890189999999919</v>
      </c>
      <c r="G10" s="7">
        <v>76.388300000000001</v>
      </c>
      <c r="H10" s="7">
        <v>0.21879999999999999</v>
      </c>
      <c r="I10" s="7">
        <v>0.11600000000000001</v>
      </c>
      <c r="J10" s="7">
        <v>0.2079</v>
      </c>
      <c r="K10" s="7">
        <v>1.0052000000000001</v>
      </c>
      <c r="L10" s="7">
        <v>0.45050000000000001</v>
      </c>
      <c r="N10">
        <f t="shared" si="2"/>
        <v>0.95018281535648996</v>
      </c>
      <c r="O10">
        <f t="shared" si="3"/>
        <v>0.53016453382084094</v>
      </c>
    </row>
    <row r="11" spans="1:15" x14ac:dyDescent="0.2">
      <c r="A11">
        <v>16</v>
      </c>
      <c r="B11">
        <f>SUM('T16'!$C$2:$C$51)</f>
        <v>60.58728679245273</v>
      </c>
      <c r="C11">
        <f>SUM('T16'!D2:D51)</f>
        <v>163.109644025157</v>
      </c>
      <c r="D11">
        <f>SUM('T16'!G2:G51)</f>
        <v>84.222849999999895</v>
      </c>
      <c r="E11">
        <f t="shared" si="0"/>
        <v>102.52235723270427</v>
      </c>
      <c r="F11">
        <f t="shared" si="1"/>
        <v>78.886794025157101</v>
      </c>
      <c r="G11" s="7">
        <v>83.6751</v>
      </c>
      <c r="H11" s="7">
        <v>0.24440000000000001</v>
      </c>
      <c r="I11" s="7">
        <v>0.12959999999999999</v>
      </c>
      <c r="J11" s="7">
        <v>0.23960000000000001</v>
      </c>
      <c r="K11" s="7">
        <v>0.88190000000000002</v>
      </c>
      <c r="L11" s="7">
        <v>0.3896</v>
      </c>
      <c r="N11">
        <f t="shared" si="2"/>
        <v>0.98036006546644849</v>
      </c>
      <c r="O11">
        <f t="shared" si="3"/>
        <v>0.53027823240589189</v>
      </c>
    </row>
    <row r="12" spans="1:15" x14ac:dyDescent="0.2">
      <c r="A12">
        <v>17</v>
      </c>
      <c r="B12">
        <f>SUM('T17'!$C$2:$C$51)</f>
        <v>44.321833333333274</v>
      </c>
      <c r="C12">
        <f>SUM('T17'!D2:D51)</f>
        <v>172.72228787878771</v>
      </c>
      <c r="D12">
        <f>SUM('T17'!G2:G51)</f>
        <v>86.572599999999909</v>
      </c>
      <c r="E12">
        <f t="shared" si="0"/>
        <v>128.40045454545444</v>
      </c>
      <c r="F12">
        <f t="shared" si="1"/>
        <v>86.149687878787802</v>
      </c>
      <c r="G12" s="7">
        <v>83.06</v>
      </c>
      <c r="H12" s="7">
        <v>0.2409</v>
      </c>
      <c r="I12" s="7">
        <v>0.2409</v>
      </c>
      <c r="J12" s="7">
        <v>0.2409</v>
      </c>
      <c r="K12" s="7">
        <v>0.78869999999999996</v>
      </c>
      <c r="L12" s="7">
        <v>0.38950000000000001</v>
      </c>
      <c r="N12">
        <f t="shared" si="2"/>
        <v>1</v>
      </c>
      <c r="O12">
        <f t="shared" si="3"/>
        <v>1</v>
      </c>
    </row>
    <row r="13" spans="1:15" x14ac:dyDescent="0.2">
      <c r="A13">
        <v>18</v>
      </c>
      <c r="B13">
        <f>SUM('T18'!$C$2:$C$51)</f>
        <v>25.615776190476133</v>
      </c>
      <c r="C13">
        <f>SUM('T18'!D2:D51)</f>
        <v>162.42139999999984</v>
      </c>
      <c r="D13">
        <f>SUM('T18'!G2:G51)</f>
        <v>80.378016666666568</v>
      </c>
      <c r="E13">
        <f t="shared" si="0"/>
        <v>136.80562380952369</v>
      </c>
      <c r="F13">
        <f t="shared" si="1"/>
        <v>82.043383333333267</v>
      </c>
      <c r="G13" s="7">
        <v>94.918400000000005</v>
      </c>
      <c r="H13" s="7">
        <v>0.2432</v>
      </c>
      <c r="I13" s="7">
        <v>0.2432</v>
      </c>
      <c r="J13" s="7">
        <v>0.2432</v>
      </c>
      <c r="K13" s="7">
        <v>0.55059999999999998</v>
      </c>
      <c r="L13" s="7">
        <v>0.36080000000000001</v>
      </c>
      <c r="N13">
        <f t="shared" si="2"/>
        <v>1</v>
      </c>
      <c r="O13">
        <f t="shared" si="3"/>
        <v>1</v>
      </c>
    </row>
    <row r="14" spans="1:15" x14ac:dyDescent="0.2">
      <c r="A14">
        <v>19</v>
      </c>
      <c r="B14">
        <f>SUM('T19'!$C$2:$C$51)</f>
        <v>8.6064666666666607</v>
      </c>
      <c r="C14">
        <f>SUM('T19'!D2:D51)</f>
        <v>170.07875833333316</v>
      </c>
      <c r="D14">
        <f>SUM('T19'!G2:G51)</f>
        <v>85.188733333333161</v>
      </c>
      <c r="E14">
        <f t="shared" si="0"/>
        <v>161.47229166666651</v>
      </c>
      <c r="F14">
        <f t="shared" si="1"/>
        <v>84.890024999999994</v>
      </c>
      <c r="G14" s="7">
        <v>102.1579</v>
      </c>
      <c r="H14" s="7">
        <v>0.25130000000000002</v>
      </c>
      <c r="I14" s="7">
        <v>0.25130000000000002</v>
      </c>
      <c r="J14" s="7">
        <v>0.25130000000000002</v>
      </c>
      <c r="K14" s="7">
        <v>0.32729999999999998</v>
      </c>
      <c r="L14" s="7">
        <v>0.31530000000000002</v>
      </c>
      <c r="N14">
        <f t="shared" si="2"/>
        <v>1</v>
      </c>
      <c r="O14">
        <f t="shared" si="3"/>
        <v>1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T7</vt:lpstr>
      <vt:lpstr>T8</vt:lpstr>
      <vt:lpstr>T9</vt:lpstr>
      <vt:lpstr>T10</vt:lpstr>
      <vt:lpstr>T11</vt:lpstr>
      <vt:lpstr>T12</vt:lpstr>
      <vt:lpstr>T13</vt:lpstr>
      <vt:lpstr>T14</vt:lpstr>
      <vt:lpstr>T15</vt:lpstr>
      <vt:lpstr>T16</vt:lpstr>
      <vt:lpstr>T17</vt:lpstr>
      <vt:lpstr>T18</vt:lpstr>
      <vt:lpstr>T19</vt:lpstr>
      <vt:lpstr>T20</vt:lpstr>
      <vt:lpstr>retailer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2019-04-30T12:26:14Z</dcterms:created>
  <dcterms:modified xsi:type="dcterms:W3CDTF">2020-03-09T11:11:21Z</dcterms:modified>
</cp:coreProperties>
</file>